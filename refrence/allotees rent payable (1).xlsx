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BILAL RAZA\"/>
    </mc:Choice>
  </mc:AlternateContent>
  <bookViews>
    <workbookView xWindow="0" yWindow="0" windowWidth="28770" windowHeight="12360" tabRatio="500" activeTab="1"/>
  </bookViews>
  <sheets>
    <sheet name="JAN- TO FEB,MARCH" sheetId="1" r:id="rId1"/>
    <sheet name="Sheet4" sheetId="11" r:id="rId2"/>
    <sheet name="Sheet5" sheetId="12" r:id="rId3"/>
    <sheet name="ISSUES CHQS" sheetId="9" r:id="rId4"/>
    <sheet name="APR-MAY" sheetId="10" r:id="rId5"/>
    <sheet name="JUNE" sheetId="13" r:id="rId6"/>
    <sheet name="JULY" sheetId="14" r:id="rId7"/>
    <sheet name="Sheet7" sheetId="15" r:id="rId8"/>
    <sheet name="Sheet3" sheetId="8" r:id="rId9"/>
    <sheet name="MARCH-APR" sheetId="6" r:id="rId10"/>
    <sheet name="Sheet2" sheetId="5" r:id="rId11"/>
    <sheet name="ALLOTEE RENT PAYABLES" sheetId="4" r:id="rId12"/>
    <sheet name="Sheet1" sheetId="7" r:id="rId13"/>
  </sheets>
  <definedNames>
    <definedName name="_xlnm._FilterDatabase" localSheetId="11" hidden="1">'ALLOTEE RENT PAYABLES'!$B$3:$U$52</definedName>
    <definedName name="_xlnm._FilterDatabase" localSheetId="0" hidden="1">'JAN- TO FEB,MARCH'!$A$3:$K$42</definedName>
    <definedName name="_xlnm._FilterDatabase" localSheetId="9" hidden="1">'MARCH-APR'!$A$3:$I$31</definedName>
    <definedName name="_xlnm._FilterDatabase" localSheetId="8" hidden="1">Sheet3!$B$5:$G$5</definedName>
    <definedName name="_xlnm.Print_Area" localSheetId="11">'ALLOTEE RENT PAYABLES'!$A$2:$Y$52</definedName>
    <definedName name="_xlnm.Print_Area" localSheetId="4">'APR-MAY'!$B$37:$G$67</definedName>
    <definedName name="_xlnm.Print_Area" localSheetId="3">'ISSUES CHQS'!$B$5:$P$45</definedName>
    <definedName name="_xlnm.Print_Area" localSheetId="0">'JAN- TO FEB,MARCH'!$A$121:$E$205</definedName>
    <definedName name="_xlnm.Print_Area" localSheetId="6">JULY!$C$176:$J$199</definedName>
    <definedName name="_xlnm.Print_Area" localSheetId="5">JUNE!$B$241:$G$259</definedName>
    <definedName name="_xlnm.Print_Area" localSheetId="9">'MARCH-APR'!$X$1:$AE$33</definedName>
    <definedName name="_xlnm.Print_Area" localSheetId="10">Sheet2!$A$241:$F$260</definedName>
    <definedName name="_xlnm.Print_Area" localSheetId="1">Sheet4!$B$47:$K$353</definedName>
    <definedName name="_xlnm.Print_Area" localSheetId="2">Sheet5!$B$4:$E$11</definedName>
  </definedNames>
  <calcPr calcId="152511"/>
</workbook>
</file>

<file path=xl/calcChain.xml><?xml version="1.0" encoding="utf-8"?>
<calcChain xmlns="http://schemas.openxmlformats.org/spreadsheetml/2006/main">
  <c r="J104" i="14" l="1"/>
  <c r="J183" i="14"/>
  <c r="J150" i="14"/>
  <c r="I287" i="11" l="1"/>
  <c r="J77" i="14" l="1"/>
  <c r="J25" i="14" l="1"/>
  <c r="G268" i="13"/>
  <c r="G245" i="13"/>
  <c r="I298" i="11" l="1"/>
  <c r="I342" i="11"/>
  <c r="K342" i="11" s="1"/>
  <c r="I343" i="11"/>
  <c r="K343" i="11" s="1"/>
  <c r="I299" i="11"/>
  <c r="G309" i="11"/>
  <c r="I300" i="11"/>
  <c r="I307" i="11"/>
  <c r="I344" i="11"/>
  <c r="G353" i="11"/>
  <c r="K351" i="11"/>
  <c r="K350" i="11"/>
  <c r="K349" i="11"/>
  <c r="K348" i="11"/>
  <c r="K347" i="11"/>
  <c r="K346" i="11"/>
  <c r="K345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I206" i="11"/>
  <c r="I251" i="11"/>
  <c r="I353" i="11" l="1"/>
  <c r="K344" i="11"/>
  <c r="K353" i="11" s="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I309" i="11"/>
  <c r="K272" i="11"/>
  <c r="K271" i="11"/>
  <c r="K273" i="11" l="1"/>
  <c r="K309" i="11" s="1"/>
  <c r="G215" i="13"/>
  <c r="O109" i="13"/>
  <c r="G77" i="13" l="1"/>
  <c r="G109" i="13"/>
  <c r="G145" i="13"/>
  <c r="G173" i="13"/>
  <c r="O48" i="13"/>
  <c r="O16" i="13"/>
  <c r="G48" i="13" l="1"/>
  <c r="L94" i="9" l="1"/>
  <c r="K94" i="9"/>
  <c r="J94" i="9"/>
  <c r="I94" i="9"/>
  <c r="H94" i="9"/>
  <c r="G94" i="9"/>
  <c r="M92" i="9"/>
  <c r="M91" i="9"/>
  <c r="M90" i="9"/>
  <c r="M89" i="9"/>
  <c r="M88" i="9"/>
  <c r="H81" i="9"/>
  <c r="M75" i="9"/>
  <c r="M79" i="9"/>
  <c r="M78" i="9"/>
  <c r="M77" i="9"/>
  <c r="M76" i="9"/>
  <c r="L81" i="9"/>
  <c r="K81" i="9"/>
  <c r="J81" i="9"/>
  <c r="I81" i="9"/>
  <c r="G81" i="9"/>
  <c r="L82" i="9" l="1"/>
  <c r="L95" i="9"/>
  <c r="M93" i="11"/>
  <c r="I128" i="11"/>
  <c r="I173" i="11"/>
  <c r="I166" i="11"/>
  <c r="I165" i="11"/>
  <c r="I164" i="11"/>
  <c r="I153" i="11"/>
  <c r="I139" i="11"/>
  <c r="O95" i="11"/>
  <c r="I121" i="11"/>
  <c r="I120" i="11"/>
  <c r="I119" i="11"/>
  <c r="I108" i="11"/>
  <c r="I95" i="11"/>
  <c r="I94" i="11"/>
  <c r="I65" i="11" l="1"/>
  <c r="K65" i="11" s="1"/>
  <c r="I130" i="11"/>
  <c r="D7" i="12" s="1"/>
  <c r="G130" i="11"/>
  <c r="C7" i="12" s="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92" i="11"/>
  <c r="I87" i="11"/>
  <c r="G87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49" i="11"/>
  <c r="I175" i="11"/>
  <c r="D8" i="12" s="1"/>
  <c r="G175" i="11"/>
  <c r="C8" i="12" s="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37" i="11"/>
  <c r="I217" i="11"/>
  <c r="I262" i="11"/>
  <c r="K262" i="11" s="1"/>
  <c r="G219" i="11"/>
  <c r="C9" i="12" s="1"/>
  <c r="K182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8" i="11"/>
  <c r="K199" i="11"/>
  <c r="K200" i="11"/>
  <c r="K201" i="11"/>
  <c r="K202" i="11"/>
  <c r="K203" i="11"/>
  <c r="K204" i="11"/>
  <c r="K205" i="11"/>
  <c r="K206" i="11"/>
  <c r="K207" i="11"/>
  <c r="K211" i="11"/>
  <c r="K212" i="11"/>
  <c r="K213" i="11"/>
  <c r="K214" i="11"/>
  <c r="K215" i="11"/>
  <c r="K216" i="11"/>
  <c r="K181" i="11"/>
  <c r="I210" i="11"/>
  <c r="K210" i="11" s="1"/>
  <c r="I209" i="11"/>
  <c r="K209" i="11" s="1"/>
  <c r="I208" i="11"/>
  <c r="K208" i="11" s="1"/>
  <c r="I197" i="11"/>
  <c r="K197" i="11" s="1"/>
  <c r="I183" i="11"/>
  <c r="K183" i="11" s="1"/>
  <c r="I255" i="11"/>
  <c r="K255" i="11" s="1"/>
  <c r="I254" i="11"/>
  <c r="K254" i="11" s="1"/>
  <c r="I253" i="11"/>
  <c r="I242" i="11"/>
  <c r="G264" i="11"/>
  <c r="C10" i="12" s="1"/>
  <c r="K227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6" i="11"/>
  <c r="K257" i="11"/>
  <c r="K258" i="11"/>
  <c r="K259" i="11"/>
  <c r="K260" i="11"/>
  <c r="K261" i="11"/>
  <c r="K226" i="11"/>
  <c r="I228" i="11"/>
  <c r="K228" i="11" s="1"/>
  <c r="W43" i="11"/>
  <c r="E7" i="12" l="1"/>
  <c r="I219" i="11"/>
  <c r="D9" i="12" s="1"/>
  <c r="E9" i="12" s="1"/>
  <c r="D6" i="12"/>
  <c r="C6" i="12"/>
  <c r="K217" i="11"/>
  <c r="K219" i="11" s="1"/>
  <c r="E8" i="12"/>
  <c r="K175" i="11"/>
  <c r="K130" i="11"/>
  <c r="K87" i="11"/>
  <c r="I264" i="11"/>
  <c r="D10" i="12" s="1"/>
  <c r="E10" i="12" s="1"/>
  <c r="K253" i="11"/>
  <c r="K264" i="11" s="1"/>
  <c r="O48" i="10"/>
  <c r="O16" i="10"/>
  <c r="G48" i="10"/>
  <c r="G16" i="10"/>
  <c r="L351" i="11" l="1"/>
  <c r="D11" i="12"/>
  <c r="C11" i="12"/>
  <c r="E6" i="12"/>
  <c r="E11" i="12" s="1"/>
  <c r="AC33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3" i="6" s="1"/>
  <c r="F72" i="6"/>
  <c r="E71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72" i="6" l="1"/>
  <c r="M45" i="9"/>
  <c r="G93" i="8"/>
  <c r="G112" i="8"/>
  <c r="G70" i="8"/>
  <c r="F281" i="5"/>
  <c r="F253" i="5"/>
  <c r="U45" i="9" l="1"/>
  <c r="F34" i="6"/>
  <c r="E33" i="6"/>
  <c r="R33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J92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3" i="1"/>
  <c r="J94" i="1"/>
  <c r="J95" i="1"/>
  <c r="J96" i="1"/>
  <c r="J97" i="1"/>
  <c r="J98" i="1"/>
  <c r="J99" i="1"/>
  <c r="J100" i="1"/>
  <c r="J101" i="1"/>
  <c r="J102" i="1"/>
  <c r="J103" i="1"/>
  <c r="J68" i="1"/>
  <c r="J67" i="1"/>
  <c r="I105" i="1"/>
  <c r="H105" i="1"/>
  <c r="G105" i="1"/>
  <c r="F105" i="1"/>
  <c r="E104" i="1"/>
  <c r="S33" i="6" l="1"/>
  <c r="J105" i="1"/>
  <c r="D122" i="8"/>
  <c r="D120" i="8"/>
  <c r="D121" i="8"/>
  <c r="AG12" i="8"/>
  <c r="X12" i="8"/>
  <c r="O15" i="8"/>
  <c r="G37" i="8"/>
  <c r="G16" i="8"/>
  <c r="D123" i="8" l="1"/>
  <c r="F158" i="5"/>
  <c r="F191" i="5"/>
  <c r="F116" i="5" l="1"/>
  <c r="F95" i="5"/>
  <c r="J25" i="1" l="1"/>
  <c r="J26" i="1"/>
  <c r="J27" i="1"/>
  <c r="J24" i="1"/>
  <c r="J28" i="1"/>
  <c r="X28" i="7"/>
  <c r="X29" i="7"/>
  <c r="X30" i="7"/>
  <c r="X31" i="7"/>
  <c r="X32" i="7"/>
  <c r="X33" i="7"/>
  <c r="X34" i="7"/>
  <c r="X35" i="7"/>
  <c r="X36" i="7"/>
  <c r="X37" i="7"/>
  <c r="X27" i="7"/>
  <c r="X26" i="7"/>
  <c r="U23" i="7" l="1"/>
  <c r="U22" i="7"/>
  <c r="U21" i="7"/>
  <c r="U20" i="7"/>
  <c r="S23" i="7"/>
  <c r="S22" i="7"/>
  <c r="S21" i="7"/>
  <c r="S20" i="7"/>
  <c r="K10" i="7" l="1"/>
  <c r="K16" i="7"/>
  <c r="K17" i="7"/>
  <c r="K18" i="7"/>
  <c r="X3" i="7"/>
  <c r="G3" i="7" l="1"/>
  <c r="I3" i="7" s="1"/>
  <c r="Q3" i="7"/>
  <c r="I24" i="7"/>
  <c r="P51" i="7"/>
  <c r="O51" i="7"/>
  <c r="H51" i="7"/>
  <c r="S50" i="7"/>
  <c r="X50" i="7" s="1"/>
  <c r="S49" i="7"/>
  <c r="X49" i="7" s="1"/>
  <c r="S48" i="7"/>
  <c r="X48" i="7" s="1"/>
  <c r="S47" i="7"/>
  <c r="X47" i="7" s="1"/>
  <c r="S46" i="7"/>
  <c r="X46" i="7" s="1"/>
  <c r="S45" i="7"/>
  <c r="X45" i="7" s="1"/>
  <c r="S44" i="7"/>
  <c r="X44" i="7" s="1"/>
  <c r="X43" i="7"/>
  <c r="X42" i="7"/>
  <c r="X41" i="7"/>
  <c r="N41" i="7"/>
  <c r="N51" i="7" s="1"/>
  <c r="M41" i="7"/>
  <c r="M51" i="7" s="1"/>
  <c r="L41" i="7"/>
  <c r="K41" i="7"/>
  <c r="I41" i="7"/>
  <c r="X40" i="7"/>
  <c r="I40" i="7"/>
  <c r="X39" i="7"/>
  <c r="Q39" i="7"/>
  <c r="I39" i="7"/>
  <c r="X38" i="7"/>
  <c r="L38" i="7"/>
  <c r="K38" i="7"/>
  <c r="I38" i="7"/>
  <c r="L37" i="7"/>
  <c r="L36" i="7"/>
  <c r="L35" i="7"/>
  <c r="L34" i="7"/>
  <c r="L33" i="7"/>
  <c r="L32" i="7"/>
  <c r="L31" i="7"/>
  <c r="L30" i="7"/>
  <c r="L29" i="7"/>
  <c r="L28" i="7"/>
  <c r="L27" i="7"/>
  <c r="Q26" i="7"/>
  <c r="L26" i="7"/>
  <c r="I26" i="7"/>
  <c r="W25" i="7"/>
  <c r="X25" i="7" s="1"/>
  <c r="I25" i="7"/>
  <c r="X24" i="7"/>
  <c r="Q24" i="7"/>
  <c r="T23" i="7"/>
  <c r="X23" i="7" s="1"/>
  <c r="T22" i="7"/>
  <c r="X22" i="7" s="1"/>
  <c r="T21" i="7"/>
  <c r="X21" i="7" s="1"/>
  <c r="T20" i="7"/>
  <c r="X20" i="7" s="1"/>
  <c r="Q20" i="7"/>
  <c r="G20" i="7"/>
  <c r="I20" i="7" s="1"/>
  <c r="X19" i="7"/>
  <c r="I19" i="7"/>
  <c r="T18" i="7"/>
  <c r="S18" i="7"/>
  <c r="R18" i="7"/>
  <c r="L18" i="7"/>
  <c r="J18" i="7"/>
  <c r="T17" i="7"/>
  <c r="S17" i="7"/>
  <c r="R17" i="7"/>
  <c r="L17" i="7"/>
  <c r="J17" i="7"/>
  <c r="I17" i="7"/>
  <c r="X16" i="7"/>
  <c r="L16" i="7"/>
  <c r="X15" i="7"/>
  <c r="L15" i="7"/>
  <c r="X14" i="7"/>
  <c r="L14" i="7"/>
  <c r="X13" i="7"/>
  <c r="L13" i="7"/>
  <c r="X12" i="7"/>
  <c r="L12" i="7"/>
  <c r="X11" i="7"/>
  <c r="L11" i="7"/>
  <c r="X10" i="7"/>
  <c r="L10" i="7"/>
  <c r="I10" i="7"/>
  <c r="T9" i="7"/>
  <c r="S9" i="7"/>
  <c r="T8" i="7"/>
  <c r="S8" i="7"/>
  <c r="I8" i="7"/>
  <c r="W6" i="7"/>
  <c r="X6" i="7" s="1"/>
  <c r="I6" i="7"/>
  <c r="W5" i="7"/>
  <c r="X5" i="7" s="1"/>
  <c r="J5" i="7"/>
  <c r="I5" i="7"/>
  <c r="W4" i="7"/>
  <c r="I4" i="7"/>
  <c r="Q52" i="4"/>
  <c r="P52" i="4"/>
  <c r="M40" i="4"/>
  <c r="M27" i="4"/>
  <c r="M25" i="4"/>
  <c r="M4" i="4"/>
  <c r="M52" i="4" s="1"/>
  <c r="L11" i="4"/>
  <c r="L12" i="4"/>
  <c r="L13" i="4"/>
  <c r="L14" i="4"/>
  <c r="L15" i="4"/>
  <c r="L16" i="4"/>
  <c r="L17" i="4"/>
  <c r="L18" i="4"/>
  <c r="L19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2" i="4"/>
  <c r="O42" i="4"/>
  <c r="O52" i="4" s="1"/>
  <c r="N42" i="4"/>
  <c r="N52" i="4" s="1"/>
  <c r="K42" i="4"/>
  <c r="M42" i="4" l="1"/>
  <c r="L52" i="4"/>
  <c r="W9" i="7"/>
  <c r="W8" i="7"/>
  <c r="X8" i="7" s="1"/>
  <c r="T51" i="7"/>
  <c r="G51" i="7"/>
  <c r="X9" i="7"/>
  <c r="L51" i="7"/>
  <c r="S51" i="7"/>
  <c r="X18" i="7"/>
  <c r="Q41" i="7"/>
  <c r="Q51" i="7" s="1"/>
  <c r="I51" i="7"/>
  <c r="J51" i="7"/>
  <c r="K51" i="7"/>
  <c r="X17" i="7"/>
  <c r="R51" i="7"/>
  <c r="X4" i="7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W51" i="7" l="1"/>
  <c r="G34" i="6"/>
  <c r="X51" i="7"/>
  <c r="F56" i="5" l="1"/>
  <c r="F19" i="5"/>
  <c r="J22" i="1" l="1"/>
  <c r="J23" i="1"/>
  <c r="J29" i="1"/>
  <c r="J30" i="1"/>
  <c r="J31" i="1"/>
  <c r="J32" i="1"/>
  <c r="J33" i="1"/>
  <c r="J34" i="1"/>
  <c r="J35" i="1"/>
  <c r="J36" i="1"/>
  <c r="J37" i="1"/>
  <c r="J38" i="1"/>
  <c r="J39" i="1"/>
  <c r="J40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G42" i="1"/>
  <c r="F42" i="1"/>
  <c r="J42" i="1" l="1"/>
  <c r="E41" i="1"/>
  <c r="AA41" i="4" l="1"/>
  <c r="I42" i="4" l="1"/>
  <c r="I26" i="4"/>
  <c r="I25" i="4"/>
  <c r="I20" i="4"/>
  <c r="I18" i="4"/>
  <c r="I11" i="4"/>
  <c r="I9" i="4"/>
  <c r="I7" i="4"/>
  <c r="I41" i="4"/>
  <c r="I40" i="4"/>
  <c r="I39" i="4"/>
  <c r="I27" i="4"/>
  <c r="I6" i="4"/>
  <c r="I5" i="4"/>
  <c r="I4" i="4"/>
  <c r="H52" i="4" l="1"/>
  <c r="W17" i="4"/>
  <c r="W16" i="4"/>
  <c r="W15" i="4"/>
  <c r="W14" i="4"/>
  <c r="W13" i="4"/>
  <c r="W12" i="4"/>
  <c r="W11" i="4"/>
  <c r="K17" i="4"/>
  <c r="K11" i="4"/>
  <c r="T51" i="4" l="1"/>
  <c r="T50" i="4"/>
  <c r="W50" i="4" s="1"/>
  <c r="T49" i="4"/>
  <c r="W49" i="4" s="1"/>
  <c r="T48" i="4"/>
  <c r="T47" i="4"/>
  <c r="T46" i="4"/>
  <c r="T45" i="4"/>
  <c r="W42" i="4"/>
  <c r="K39" i="4"/>
  <c r="V26" i="4"/>
  <c r="R25" i="4"/>
  <c r="W20" i="4"/>
  <c r="U19" i="4"/>
  <c r="U18" i="4"/>
  <c r="T19" i="4"/>
  <c r="T18" i="4"/>
  <c r="S19" i="4"/>
  <c r="S18" i="4"/>
  <c r="S52" i="4" s="1"/>
  <c r="K19" i="4"/>
  <c r="K18" i="4"/>
  <c r="J19" i="4"/>
  <c r="J18" i="4"/>
  <c r="U10" i="4"/>
  <c r="U9" i="4"/>
  <c r="T10" i="4"/>
  <c r="T9" i="4"/>
  <c r="V7" i="4"/>
  <c r="W7" i="4" s="1"/>
  <c r="V6" i="4"/>
  <c r="W6" i="4" s="1"/>
  <c r="J6" i="4"/>
  <c r="V5" i="4"/>
  <c r="W5" i="4" s="1"/>
  <c r="W18" i="4" l="1"/>
  <c r="T52" i="4"/>
  <c r="V52" i="4"/>
  <c r="W19" i="4"/>
  <c r="W10" i="4"/>
  <c r="W9" i="4"/>
  <c r="R21" i="4"/>
  <c r="W4" i="4"/>
  <c r="W25" i="4"/>
  <c r="W36" i="4" l="1"/>
  <c r="W35" i="4"/>
  <c r="W31" i="4"/>
  <c r="W28" i="4"/>
  <c r="W34" i="4"/>
  <c r="W38" i="4"/>
  <c r="W27" i="4"/>
  <c r="R27" i="4"/>
  <c r="R4" i="4"/>
  <c r="W51" i="4"/>
  <c r="W48" i="4"/>
  <c r="W47" i="4"/>
  <c r="W46" i="4"/>
  <c r="W45" i="4"/>
  <c r="W44" i="4"/>
  <c r="W43" i="4"/>
  <c r="W41" i="4"/>
  <c r="W40" i="4"/>
  <c r="W39" i="4"/>
  <c r="W37" i="4"/>
  <c r="W33" i="4"/>
  <c r="W32" i="4"/>
  <c r="W30" i="4"/>
  <c r="W29" i="4"/>
  <c r="W26" i="4"/>
  <c r="W68" i="4"/>
  <c r="K52" i="4" l="1"/>
  <c r="R40" i="4"/>
  <c r="R52" i="4" s="1"/>
  <c r="J52" i="4"/>
  <c r="U23" i="4"/>
  <c r="W23" i="4" s="1"/>
  <c r="U22" i="4"/>
  <c r="W22" i="4" s="1"/>
  <c r="U21" i="4"/>
  <c r="U24" i="4"/>
  <c r="W24" i="4" s="1"/>
  <c r="W21" i="4" l="1"/>
  <c r="W52" i="4" s="1"/>
  <c r="U52" i="4"/>
  <c r="K69" i="4" l="1"/>
  <c r="F69" i="4"/>
  <c r="G21" i="4"/>
  <c r="E58" i="1"/>
  <c r="G52" i="4" l="1"/>
  <c r="M21" i="4"/>
  <c r="I21" i="4"/>
  <c r="I52" i="4" s="1"/>
  <c r="F233" i="5" l="1"/>
  <c r="G16" i="13"/>
</calcChain>
</file>

<file path=xl/comments1.xml><?xml version="1.0" encoding="utf-8"?>
<comments xmlns="http://schemas.openxmlformats.org/spreadsheetml/2006/main">
  <authors>
    <author>Muhammad</author>
  </authors>
  <commentList>
    <comment ref="K6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9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1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Muhammad</author>
  </authors>
  <commentList>
    <comment ref="V9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1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Muhammad</author>
  </authors>
  <commentList>
    <comment ref="H4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2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5" authorId="0" shapeId="0">
      <text>
        <r>
          <rPr>
            <b/>
            <sz val="9"/>
            <color indexed="81"/>
            <rFont val="Tahoma"/>
            <family val="2"/>
          </rPr>
          <t>Muhammad: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<sst xmlns="http://schemas.openxmlformats.org/spreadsheetml/2006/main" count="4155" uniqueCount="558">
  <si>
    <t>BRAND NAME</t>
  </si>
  <si>
    <t>SHOP NO</t>
  </si>
  <si>
    <t>SQ.FT</t>
  </si>
  <si>
    <t>ZEHRA</t>
  </si>
  <si>
    <t>DOLLAR WORLD</t>
  </si>
  <si>
    <t>SALMAN SAIF</t>
  </si>
  <si>
    <t>BIN NAZEER</t>
  </si>
  <si>
    <t>HRY JEWELLERS</t>
  </si>
  <si>
    <t>ELENOR</t>
  </si>
  <si>
    <t>CUTE KIDS</t>
  </si>
  <si>
    <t>SCENTIAGO</t>
  </si>
  <si>
    <t>BOUTIQUE INN</t>
  </si>
  <si>
    <t>KAY KAY GROUP</t>
  </si>
  <si>
    <t>FALAKNAZ GROUP</t>
  </si>
  <si>
    <t>RASHID HUSSAIN KHAN</t>
  </si>
  <si>
    <t>ABDUL WALI</t>
  </si>
  <si>
    <t>ALIYA BEGUM</t>
  </si>
  <si>
    <t>MUHAMMAD IMRAN</t>
  </si>
  <si>
    <t>HAMID ALI</t>
  </si>
  <si>
    <t>ASIM QURESHI | SAQIB QURESHI</t>
  </si>
  <si>
    <t>ASHFAQ AHMED SIDDIQUI</t>
  </si>
  <si>
    <t>DANISH AHMED SIDDIQUI</t>
  </si>
  <si>
    <t>AZHAR ALI</t>
  </si>
  <si>
    <t>TALAT ASHFAQ QURESHI</t>
  </si>
  <si>
    <t>COMPANY SETLEMENT</t>
  </si>
  <si>
    <t>KHALIL AHMED</t>
  </si>
  <si>
    <t>SYED RIZWAN HUSSAIN</t>
  </si>
  <si>
    <t>SYED ASIF ALI</t>
  </si>
  <si>
    <t>NIAZ AHMED</t>
  </si>
  <si>
    <t>ISRAR AHMED</t>
  </si>
  <si>
    <t>MUHAMMAD LAEEQ</t>
  </si>
  <si>
    <t>SYED SAMMER ABBAS ZAIDI</t>
  </si>
  <si>
    <t>MUHAMMAD ABID SALEEM UDDIN</t>
  </si>
  <si>
    <t>SYED SAIF UR REHMAN</t>
  </si>
  <si>
    <t>BEMBENINE</t>
  </si>
  <si>
    <t>SOHAIL INTIZAR</t>
  </si>
  <si>
    <t>MUHAMMAD RAFIQUE BURIRO</t>
  </si>
  <si>
    <t>KIOSK NO 5</t>
  </si>
  <si>
    <t>8X9 FT</t>
  </si>
  <si>
    <t>BLOCK 2</t>
  </si>
  <si>
    <t>8X8 FEET</t>
  </si>
  <si>
    <t>KIOSK NO 4</t>
  </si>
  <si>
    <t>7X10 FEET</t>
  </si>
  <si>
    <t>KISOSK 1</t>
  </si>
  <si>
    <t>G006</t>
  </si>
  <si>
    <t>KAMPUS 
RENT</t>
  </si>
  <si>
    <t>ALLOTEE 
NAME</t>
  </si>
  <si>
    <t xml:space="preserve">TOTAL </t>
  </si>
  <si>
    <t xml:space="preserve">BACHA CAR RIDES </t>
  </si>
  <si>
    <t>BACHA PARTY CORNS</t>
  </si>
  <si>
    <t xml:space="preserve">ELEGANCIA (OSAMA) </t>
  </si>
  <si>
    <t xml:space="preserve">GEMPORIUM (KIOSK) </t>
  </si>
  <si>
    <t xml:space="preserve">N\S SCENTIQUE </t>
  </si>
  <si>
    <t xml:space="preserve">NENDOS EXTENTION </t>
  </si>
  <si>
    <t xml:space="preserve">Scoop &amp; Smile </t>
  </si>
  <si>
    <t xml:space="preserve">STYLE IN  </t>
  </si>
  <si>
    <t>THE TIE STORE</t>
  </si>
  <si>
    <t>TURK STATION</t>
  </si>
  <si>
    <t>ALLOTEE RENT PAYABLE DETAILS</t>
  </si>
  <si>
    <t>KISOSK 3</t>
  </si>
  <si>
    <t>5x8 FEET</t>
  </si>
  <si>
    <t>KIOSK 2</t>
  </si>
  <si>
    <t>4X6 FEET</t>
  </si>
  <si>
    <t>KIOSK</t>
  </si>
  <si>
    <t>UG 203</t>
  </si>
  <si>
    <t>ALLOTEE RENT 
PAYABLE</t>
  </si>
  <si>
    <t>SECURITY DEPOSIT</t>
  </si>
  <si>
    <t>S.NO</t>
  </si>
  <si>
    <t>G0056</t>
  </si>
  <si>
    <t>G085</t>
  </si>
  <si>
    <t>SANA SWEETS CORN</t>
  </si>
  <si>
    <t>KIOSK#3</t>
  </si>
  <si>
    <t>6X5 FT</t>
  </si>
  <si>
    <t>THIS SHOP IS PM BUT KAMPUS HAS RCVD 
SECURITY DEPOSIT AND ADVANCE RENT</t>
  </si>
  <si>
    <t>REMARKS</t>
  </si>
  <si>
    <t>RENT ADJUSTED IN ADVANCE 
RENT FROM FEB TO APR-2026</t>
  </si>
  <si>
    <t>TOTAL RENT PAYABLE TO ALLOTEE</t>
  </si>
  <si>
    <t>RENT START 
DATE</t>
  </si>
  <si>
    <t>ALLOTEE RENT 
PAYABLE JAN-2026</t>
  </si>
  <si>
    <t>TOTAL ADVANCE RENT PAYABLE</t>
  </si>
  <si>
    <t>RENT MONTH OF JAN-2026</t>
  </si>
  <si>
    <t>RENT START FROM JAN-2026</t>
  </si>
  <si>
    <t>RENT START 
FROM JAN-2026</t>
  </si>
  <si>
    <t>RENT ADJUSTED IN ADVANCE 
RENT FROM JAN TO FEB-2026</t>
  </si>
  <si>
    <t>RENT PAID TO ALLOTEE</t>
  </si>
  <si>
    <t>RENT MONTH OF DEC-2026</t>
  </si>
  <si>
    <t>ALLOTEE RENT 
PAYABLE DEC-2025</t>
  </si>
  <si>
    <t>ALLOTEE RENT 
PAYABLE FEB-2026</t>
  </si>
  <si>
    <t>RENT START
 FROM DEC-2025</t>
  </si>
  <si>
    <t>RENT START FROM 
01ST FEB-2026</t>
  </si>
  <si>
    <t>RENT MONTH OF FEB-2026</t>
  </si>
  <si>
    <t>FEB,MAR AND RENT WILL BE
 ADJUSTED IN ADVANCE RENT</t>
  </si>
  <si>
    <t>RENT START FROM 01 FEB-2025</t>
  </si>
  <si>
    <t>RENT AND SECURITY DEPOSIT IN PROFESSIONAL MANAGEMENT A/C</t>
  </si>
  <si>
    <t>FROM DEC-2025</t>
  </si>
  <si>
    <t>RENT START FROM APR-2025 &amp; DEPOSITED INTO PM A/C</t>
  </si>
  <si>
    <t>RENT AND SECURITY DEPOSIT IN PROFESSIONAL MANAGEMENT A/C AS PER AGRREMENT</t>
  </si>
  <si>
    <t>RENT WILL BE START FROM 01ST FEB-2025</t>
  </si>
  <si>
    <t>RENT WILL BE START FROM 10TH APR-2025</t>
  </si>
  <si>
    <t>SHOP CLOSED</t>
  </si>
  <si>
    <t>RENT START FROM
 01ST AUG-2025</t>
  </si>
  <si>
    <t>SHOP NO#G0026,G0036 AND G0038 
ARE PROFEESIONAL MANAGEMENT SHOPS</t>
  </si>
  <si>
    <t>G0050</t>
  </si>
  <si>
    <t>BRAND 
NAME</t>
  </si>
  <si>
    <t>AFSHAN 
JEWELLERS</t>
  </si>
  <si>
    <t>LINGREE 
STUDIO</t>
  </si>
  <si>
    <t xml:space="preserve">ZUMS
 CREATION </t>
  </si>
  <si>
    <t>KISHWAR
 JAHAN</t>
  </si>
  <si>
    <t xml:space="preserve">NENDOS
 EXTENTION </t>
  </si>
  <si>
    <t>SECURITY
 DEPOSIT</t>
  </si>
  <si>
    <t>PROFESSIONAL
 MANAGEMENT</t>
  </si>
  <si>
    <t>ADVANCE RENT DEPOSIT</t>
  </si>
  <si>
    <t>G0081</t>
  </si>
  <si>
    <t>G0057</t>
  </si>
  <si>
    <t>G0058</t>
  </si>
  <si>
    <t>G0059</t>
  </si>
  <si>
    <t>G0060</t>
  </si>
  <si>
    <t>G0051</t>
  </si>
  <si>
    <t>G0052</t>
  </si>
  <si>
    <t>G0054</t>
  </si>
  <si>
    <t>G0072</t>
  </si>
  <si>
    <t>G0073</t>
  </si>
  <si>
    <t>G0074</t>
  </si>
  <si>
    <t>G0093</t>
  </si>
  <si>
    <t>G0094</t>
  </si>
  <si>
    <t>G0066</t>
  </si>
  <si>
    <t>G0067</t>
  </si>
  <si>
    <t>G0068</t>
  </si>
  <si>
    <t>G0069</t>
  </si>
  <si>
    <t>G0071</t>
  </si>
  <si>
    <t>G0089</t>
  </si>
  <si>
    <t>G0090</t>
  </si>
  <si>
    <t>G0018</t>
  </si>
  <si>
    <t>G0019</t>
  </si>
  <si>
    <t>G0020</t>
  </si>
  <si>
    <t>G0021</t>
  </si>
  <si>
    <t>G0022</t>
  </si>
  <si>
    <t>G0023</t>
  </si>
  <si>
    <t>G0025</t>
  </si>
  <si>
    <t>G0040</t>
  </si>
  <si>
    <t>G0041</t>
  </si>
  <si>
    <t>G0043</t>
  </si>
  <si>
    <t>G0044</t>
  </si>
  <si>
    <t>G0045</t>
  </si>
  <si>
    <t>G0082</t>
  </si>
  <si>
    <t>G0026</t>
  </si>
  <si>
    <t>G0027</t>
  </si>
  <si>
    <t>G0028</t>
  </si>
  <si>
    <t>G0030</t>
  </si>
  <si>
    <t>G0031</t>
  </si>
  <si>
    <t>G0032</t>
  </si>
  <si>
    <t>G0034</t>
  </si>
  <si>
    <t>G0036</t>
  </si>
  <si>
    <t>G0037</t>
  </si>
  <si>
    <t>G0038</t>
  </si>
  <si>
    <t>BRAND SECURITY DEPOSIT AND ADVANCE RENT AND RENT DETAILS</t>
  </si>
  <si>
    <t>ALLOTEE RENT DETAILS</t>
  </si>
  <si>
    <t>TOTAL SECURITY DEPOSIT AND ADVANCE RENT</t>
  </si>
  <si>
    <t>PROFESSIONAL MANAGEMENT</t>
  </si>
  <si>
    <t>DATE 13-04-2026</t>
  </si>
  <si>
    <t>SHOP NOS.</t>
  </si>
  <si>
    <t>S.NOS.</t>
  </si>
  <si>
    <t>SQ.FT.</t>
  </si>
  <si>
    <t>RENT MONTH OF Feb-2026</t>
  </si>
  <si>
    <t>RENT MONTH OF Jan-2026</t>
  </si>
  <si>
    <t>JAN-26 TO FEB-26</t>
  </si>
  <si>
    <t xml:space="preserve"> FEB-26</t>
  </si>
  <si>
    <t xml:space="preserve">S.NO </t>
  </si>
  <si>
    <t>AMOUNT</t>
  </si>
  <si>
    <t>DESCRCIPTION</t>
  </si>
  <si>
    <t>CHEQUE NO</t>
  </si>
  <si>
    <t xml:space="preserve">BANK NAME </t>
  </si>
  <si>
    <t>TOTAL AMOUNT</t>
  </si>
  <si>
    <t>DUBAI ISLAMIC
 BANK</t>
  </si>
  <si>
    <t>CHEQUE DATE</t>
  </si>
  <si>
    <t>APPROVED BY</t>
  </si>
  <si>
    <t>CHEQUE PAID TO ALLOTEE (RASHID HUSSAIN KHAN ) 
AGAINST SHOP RENT FOR THE MONTH OF JAN-2026(SHOP #G-59)</t>
  </si>
  <si>
    <t>CHEQUE PAID TO ALLOTEE (RASHID HUSSAIN KHAN ) 
AGAINST SHOP RENT FOR THE MONTH OF FEB-2026(SHOP #G-59)</t>
  </si>
  <si>
    <t>CHEQUE PAID TO ALLOTEE (ABDUL WALI) 
AGAINST SHOP RENT FOR THE MONTH OF JAN-2026(SHOP #G-60)</t>
  </si>
  <si>
    <t>CHEQUE PAID TO ALLOTEE (ABDUL WALI) 
AGAINST SHOP RENT FOR THE MONTH OF FEB-2026(SHOP #G-60)</t>
  </si>
  <si>
    <t>CHEQUE PAID TO ALLOTEE (TALAT ASHFAQ QURESHI) 
AGAINST SHOP RENT FOR THE MONTH OF FEB-2026(SHOP #G-50)</t>
  </si>
  <si>
    <t>CHEQUE PAID TO ALLOTEE (MUHAMMAD IMRAN) 
AGAINST SHOP RENT FOR THE MONTH OF JAN-2026(SHOP #G-27)</t>
  </si>
  <si>
    <t>CHEQUE PAID TO ALLOTEE (MUHAMMAD IMRAN) 
AGAINST SHOP RENT FOR THE MONTH OF FEB-2026(SHOP #G-27)</t>
  </si>
  <si>
    <t>CHEQUE PAID TO ALLOTEE (HAMID ALI ) 
AGAINST SHOP RENT FOR THE MONTH OF JAN-2026(SHOP #G-28)</t>
  </si>
  <si>
    <t>CHEQUE PAID TO ALLOTEE (HAMID ALI ) 
AGAINST SHOP RENT FOR THE MONTH OF FEB-2026(SHOP #G-28)</t>
  </si>
  <si>
    <t>CHEQUE PAID TO ALLOTEE (ASHFAQ AHMED SIDDIQUI ) 
AGAINST SHOP RENT FOR THE MONTH OF JAN-2026(SHOP #G-31)</t>
  </si>
  <si>
    <t>CHEQUE PAID TO ALLOTEE (ASHFAQ AHMED SIDDIQUI ) 
AGAINST SHOP RENT FOR THE MONTH OF FEB-2026(SHOP #G-31)</t>
  </si>
  <si>
    <t>CHEQUE PAID TO ALLOTEE (ASHFAQ AHMED SIDDIQUI ) 
AGAINST SHOP RENT FOR THE MONTH OF JAN-2026(SHOP #G-32)</t>
  </si>
  <si>
    <t>CHEQUE PAID TO ALLOTEE (ASHFAQ AHMED SIDDIQUI ) 
AGAINST SHOP RENT FOR THE MONTH OF FEB-2026(SHOP #G-32)</t>
  </si>
  <si>
    <t>CHEQUE PAID TO ALLOTEE (DANISH AHMED SIDDIQUI ) 
AGAINST SHOP RENT FOR THE MONTH OF JAN-2026(SHOP #G-34)</t>
  </si>
  <si>
    <t>CHEQUE PAID TO ALLOTEE (DANISH AHMED SIDDIQUI ) 
AGAINST SHOP RENT FOR THE MONTH OF FEB-2026(SHOP #G-34)</t>
  </si>
  <si>
    <t>CHEQUE PAID TO ALLOTEE (AZHAR ALI  ) 
AGAINST SHOP RENT FOR THE MONTH OF JAN-2026(SHOP #G-37)</t>
  </si>
  <si>
    <t>CHEQUE PAID TO ALLOTEE (AZHAR ALI  ) 
AGAINST SHOP RENT FOR THE MONTH OF FEB-2026(SHOP #G-37)</t>
  </si>
  <si>
    <t>CHEQUE PAID TO ALLOTEE (ASIM QURESHI /SAQIB QURESHI  ) 
AGAINST SHOP RENT FOR THE MONTH OF JAN-2026(SHOP #G-30)</t>
  </si>
  <si>
    <t>CHEQUE PAID TO ALLOTEE (ASIM QURESHI /SAQIB QURESHI  ) 
AGAINST SHOP RENT FOR THE MONTH OF FEB-2026(SHOP #G-30)</t>
  </si>
  <si>
    <t>CHEQUE PAID TO ALLOTEE (SOHAIL INTEZAR ) 
AGAINST SHOP RENT FOR THE MONTH OF JAN-2026(SHOP #G-67)</t>
  </si>
  <si>
    <t>CHEQUE PAID TO ALLOTEE (SOHAIL INTEZAR ) 
AGAINST SHOP RENT FOR THE MONTH OF FEB-2026(SHOP #G-67)</t>
  </si>
  <si>
    <t>CHEQUE PAID TO ALLOTEE (MUHAMMAD RAFIQUE BURIRO ) 
AGAINST SHOP RENT FOR THE MONTH OF JAN-2026(SHOP #G-68)</t>
  </si>
  <si>
    <t>CHEQUE PAID TO ALLOTEE (MUHAMMAD RAFIQUE BURIRO ) 
AGAINST SHOP RENT FOR THE MONTH OF FEB-2026(SHOP #G-68)</t>
  </si>
  <si>
    <t>CHEQUE PAID TO ALLOTEE (SYED RIZWAN HUSSAIN) 
AGAINST SHOP RENT FOR THE MONTH OF FEB-2026(SHOP #G-19)</t>
  </si>
  <si>
    <t>CHEQUE PAID TO ALLOTEE (SYED ASIF ALI ) 
AGAINST SHOP RENT FOR THE MONTH OF FEB-2026(SHOP #G-20)</t>
  </si>
  <si>
    <t>CHEQUE PAID TO ALLOTEE (NIAZ AHMED ) 
AGAINST SHOP RENT FOR THE MONTH OF FEB-2026(SHOP #G-21)</t>
  </si>
  <si>
    <t>CHEQUE PAID TO ALLOTEE (ISRAR AHMED ) 
AGAINST SHOP RENT FOR THE MONTH OF FEB-2026(SHOP #G-22)</t>
  </si>
  <si>
    <t>CHEQUE PAID TO ALLOTEE (MUHAMMAD LAEEQ ) 
AGAINST SHOP RENT FOR THE MONTH OF FEB-2026(SHOP #G-23)</t>
  </si>
  <si>
    <t>CHEQUE PAID TO ALLOTEE (SYED SAMMER ABBAS ZAIDI ) 
AGAINST SHOP RENT FOR THE MONTH OF FEB-2026(SHOP #G-25)</t>
  </si>
  <si>
    <t>CHEQUE PAID TO ALLOTEE (MUHAMMAD ABID SALEEM UDDIN ) 
AGAINST SHOP RENT FOR THE MONTH OF FEB-2026(SHOP #G-41)</t>
  </si>
  <si>
    <t xml:space="preserve">LIST OF ALLOTTEES RENT CHEQUE  APPROVAL SHEET  </t>
  </si>
  <si>
    <t>CHECKED BY</t>
  </si>
  <si>
    <t>VERIFIED BY</t>
  </si>
  <si>
    <t>PREPAID BY</t>
  </si>
  <si>
    <t>OK</t>
  </si>
  <si>
    <t>FOR THE MONTH OF  JAN-26 TO FEB-26</t>
  </si>
  <si>
    <t>ISSHUED ON 
22-04-2026</t>
  </si>
  <si>
    <t>ISSHUED ON
18-04-2026</t>
  </si>
  <si>
    <t>ISSHUED ON
16-04-2026</t>
  </si>
  <si>
    <t>ISSHUED ON
07-05-2026</t>
  </si>
  <si>
    <t>RENT MONTH OF MARCH-2026</t>
  </si>
  <si>
    <t>FOR THE MONTH OF  MARCH-26</t>
  </si>
  <si>
    <t>DATE 13-05-2026</t>
  </si>
  <si>
    <t>ADVANCE RENT 
ADJUSTED JAN TO FEB</t>
  </si>
  <si>
    <t>RENT MONTH OF APRIL-2026</t>
  </si>
  <si>
    <t>RENT MONTH OF MAY-2026</t>
  </si>
  <si>
    <t>RENT MONTH OF JUN-2026</t>
  </si>
  <si>
    <t>ELENOR SHOP RENT CLEAR JUNE-26 SHOP CLOSE 
(ALLOTEE RENT PAID FEB-26 )</t>
  </si>
  <si>
    <t>RENT START FROM JAN-2026  RENT  ADVANCE ADJUSTED
 TO FEB-26</t>
  </si>
  <si>
    <t>RENT START FROM FEB-2026 
FEB-26 RENT KAMPUS CLEAR MARCH RENT PROFFESIONAL MANAGEMENT</t>
  </si>
  <si>
    <t xml:space="preserve">RENT START 
FROM JAN TO FEB-26 ADJUSTED TO ADVANCE RENT 
</t>
  </si>
  <si>
    <t>ALLOTEE RENT 
PAYABLE MARCH-2026</t>
  </si>
  <si>
    <t>ALLOTEE RENT 
PAYABLE APRIL-2026</t>
  </si>
  <si>
    <t>RENT START 
FROM JAN-2026 TO FEB ADVANCE RENT  (MARCH RENT START)</t>
  </si>
  <si>
    <t>RENT START FROM 
01ST FEB-2026MARCH APRIL ADJYSTED ADVANCE RENT</t>
  </si>
  <si>
    <t xml:space="preserve"> FEB-26 ,MARCH-26,APRIL-26</t>
  </si>
  <si>
    <t>JAN-26 TO FEB-26  ,MARCH-26</t>
  </si>
  <si>
    <t>CHEQUE PAID TO ALLOTEE (KAY KAY GROUP ) 
AGAINST SHOP RENT FOR THE MONTH OF FEB-2026(SHOP #G-71)</t>
  </si>
  <si>
    <t>CHEQUE PAID TO ALLOTEE 
(PROFRSSIONAL MANAGMENT) 
AGAINST SHOP RENT FOR THE MONTH OF FEB-2026(SHOP #G-51)</t>
  </si>
  <si>
    <t>CHEQUE PAID TO ALLOTEE 
(PROFRSSIONAL MANAGMENT) 
AGAINST SHOP RENT FOR THE MONTH OF FEB-2026(SHOP #G-52)</t>
  </si>
  <si>
    <t>CHEQUE PAID TO ALLOTEE 
(PROFRSSIONAL MANAGMENT) 
AGAINST SHOP RENT FOR THE MONTH OF FEB-2026(SHOP #G-54)</t>
  </si>
  <si>
    <t>CHEQUE PAID TO ALLOTEE 
(PROFRSSIONAL MANAGMENT) 
AGAINST SHOP RENT FOR THE MONTH OF FEB-2026(SHOP #G-72)</t>
  </si>
  <si>
    <t>CHEQUE PAID TO ALLOTEE 
(FALAKNAZ GROUP) 
AGAINST SHOP RENT FOR THE MONTH OF FEB-2026(SHOP #G-73)</t>
  </si>
  <si>
    <t>CHEQUE PAID TO ALLOTEE 
(PROFESSIONAL MANAGMENT ) 
AGAINST SHOP RENT FOR THE MONTH OF FEB-2026(SHOP #G-74)</t>
  </si>
  <si>
    <t>CHEQUE PAID TO ALLOTEE 
(KAY KAY GROUP ) 
AGAINST SHOP RENT FOR THE MONTH OF JAN-2026(SHOP #G-36)</t>
  </si>
  <si>
    <t>CHEQUE PAID TO ALLOTEE 
(KAY KAY GROUP ) 
AGAINST SHOP RENT FOR THE MONTH OF FEB-2026(SHOP #G-36)</t>
  </si>
  <si>
    <t>CHEQUE PAID TO ALLOTEE 
(FALAKNAZ GROUP ) 
AGAINST SHOP RENT FOR THE MONTH OF JAN-2026(SHOP #G-38)</t>
  </si>
  <si>
    <t>CHEQUE PAID TO ALLOTEE 
(FALAKNAZ GROUP ) 
AGAINST SHOP RENT FOR THE MONTH OF FEB-2026(SHOP #G-38)</t>
  </si>
  <si>
    <t>CHEQUE PAID TO ALLOTEE 
(KAY KAY GROUP ) 
AGAINST SHOP RENT FOR THE MONTH OF JAN-2026(SHOP #G-69)</t>
  </si>
  <si>
    <t>CHEQUE PAID TO ALLOTEE 
(PROFRSSIONAL MANAGMENT) 
AGAINST SHOP RENT FOR THE MONTH OF FEB-2026(SHOP #G-18)</t>
  </si>
  <si>
    <t>CHEQUE PAID TO ALLOTEE 
(PROFRSSIONAL MANAGMENT) 
AGAINST SHOP RENT FOR THE MONTH OF FEB-2026(SHOP #G-40)</t>
  </si>
  <si>
    <t>CHEQUE PAID TO ALLOTEE 
(PROFRSSIONAL MANAGMENT) 
AGAINST SHOP RENT FOR THE MONTH OF FEB-2026(SHOP #G-45)</t>
  </si>
  <si>
    <t>CHEQUE PAID TO ALLOTEE 
(FALAKNAZ GROUP) 
AGAINST SHOP RENT FOR THE MONTH OF JAN-2026(SHOP #G-26)</t>
  </si>
  <si>
    <t>CHEQUE PAID TO ALLOTEE 
(FALAKNAZ GROUP ) 
AGAINST SHOP RENT FOR THE MONTH OF FEB-2026(SHOP #G-26)</t>
  </si>
  <si>
    <t>CHEQUE PAID TO ALLOTEE 
(KAY KAY GROUP ) 
AGAINST SHOP RENT FOR THE MONTH OF JAN-2026(SHOP #G-71)</t>
  </si>
  <si>
    <t>CHEQUE PAID TO ALLOTEE 
(KAY KAY GROUP ) 
AGAINST SHOP RENT FOR THE MONTH OF FEB-2026(SHOP #G-69)</t>
  </si>
  <si>
    <t>CHEQUE PAID TO ALLOTEE 
(PROFRSSIONAL MANAGMENT) 
AGAINST SHOP RENT FOR THE MONTH OF FEB-2026(SHOP #G-43)</t>
  </si>
  <si>
    <t>CHEQUE PAID TO ALLOTEE 
(FALAKNAZ GROUP ) 
AGAINST SHOP RENT FOR THE MONTH OF FEB-2026(SHOP #G-44)</t>
  </si>
  <si>
    <t xml:space="preserve">                        </t>
  </si>
  <si>
    <t>CHEQUE PAID TO ALLOTEE 
(ALIYA BEGUM ) 
AGAINST SHOP RENT FOR THE MONTH OF MARCH-2026
(SHOP #G-81)</t>
  </si>
  <si>
    <t>CHEQUE PAID TO ALLOTEE 
(MUHAMMAD IMRAN ) 
AGAINST SHOP RENT FOR THE MONTH OF MARCH-2026
(SHOP #G-27)</t>
  </si>
  <si>
    <t>CHEQUE PAID TO ALLOTEE 
(HAMID ALI ) 
AGAINST SHOP RENT FOR THE MONTH OF MARCH-2026
(SHOP #G-28)</t>
  </si>
  <si>
    <t>CHEQUE PAID TO ALLOTEE 
(ASIM QURESHI /SAQIB QURESHI) 
AGAINST SHOP RENT FOR THE MONTH OF MARCH-2026
(SHOP #G-30)</t>
  </si>
  <si>
    <t>CHEQUE PAID TO ALLOTEE 
(ASHFAQ AHMED SIDDIQUI ) 
AGAINST SHOP RENT FOR THE MONTH OF MARCH-2026
(SHOP #G-31)</t>
  </si>
  <si>
    <t>CHEQUE PAID TO ALLOTEE 
(ASHFAQ AHMED SIDDIQUE ) 
AGAINST SHOP RENT FOR THE MONTH OF MARCH-2026
(SHOP #G-32)</t>
  </si>
  <si>
    <t>CHEQUE PAID TO ALLOTEE 
(DANISH AHMED SIDDIQUE) 
AGAINST SHOP RENT FOR THE MONTH OF MARCH-2026
(SHOP #G-34)</t>
  </si>
  <si>
    <t>CHEQUE PAID TO ALLOTEE 
(AZHAR ALI ) 
AGAINST SHOP RENT FOR THE MONTH OF MARCH-2026
(SHOP #G-37)</t>
  </si>
  <si>
    <t>CHEQUE PAID TO ALLOTEE 
(SYED RIZWAN HUSSAIN) 
AGAINST SHOP RENT FOR THE MONTH OF MARCH-2026
(SHOP #G-19)</t>
  </si>
  <si>
    <t>CHEQUE PAID TO ALLOTEE 
(SYED ASIF ALI) 
AGAINST SHOP RENT FOR THE MONTH OF MARCH-2026
(SHOP #G-20)</t>
  </si>
  <si>
    <t>CHEQUE PAID TO ALLOTEE 
(NIAZ AHMED  ) 
AGAINST SHOP RENT FOR THE MONTH OF MARCH-2026
(SHOP #G-21)</t>
  </si>
  <si>
    <t>CHEQUE PAID TO ALLOTEE 
(RIAZ AHMED  ) 
AGAINST SHOP RENT FOR THE MONTH OF MARCH-2026
(SHOP #G-22)</t>
  </si>
  <si>
    <t>CHEQUE PAID TO ALLOTEE 
(MUHAMMAD LAEEQ ) 
AGAINST SHOP RENT FOR THE MONTH OF MARCH-2026
(SHOP #G-23)</t>
  </si>
  <si>
    <t>CHEQUE PAID TO ALLOTEE 
(SYED SAMEER ABBAS ZAIDI ) 
AGAINST SHOP RENT FOR THE MONTH OF MARCH-2026
(SHOP #G-25)</t>
  </si>
  <si>
    <t>CHEQUE PAID TO ALLOTEE 
(MUHAMMAD ABID SALEEM UDDIN) 
AGAINST SHOP RENT FOR THE MONTH OF MARCH-2026
(SHOP #G-41)</t>
  </si>
  <si>
    <t>CHEQUE PAID TO ALLOTEE 
(SYED SAIF UR REHMAN ) 
AGAINST SHOP RENT FOR THE MONTH OF MARCH-2026
(SHOP #G-82)</t>
  </si>
  <si>
    <t>CHEQUE PAID TO ALLOTEE 
(SOHAIL INTEZAR ) 
AGAINST SHOP RENT FOR THE MONTH OF MARCH-2026
(SHOP #G-67)</t>
  </si>
  <si>
    <t>CHEQUE PAID TO ALLOTEE 
(MUHAMMAD RAFIQUE BURIRO ) 
AGAINST SHOP RENT FOR THE MONTH OF MARCH-2026
(SHOP #G-68)</t>
  </si>
  <si>
    <t xml:space="preserve">                                                                                            </t>
  </si>
  <si>
    <r>
      <rPr>
        <u/>
        <sz val="30"/>
        <rFont val="Calibri"/>
        <family val="2"/>
      </rPr>
      <t xml:space="preserve">                                         </t>
    </r>
    <r>
      <rPr>
        <sz val="30"/>
        <rFont val="Calibri"/>
        <family val="2"/>
      </rPr>
      <t xml:space="preserve">                                                                                                                       </t>
    </r>
  </si>
  <si>
    <t xml:space="preserve">LIST OF PROFRSSIONAL MANAGMENT RENT CHEQUE  APPROVAL SHEET  </t>
  </si>
  <si>
    <t xml:space="preserve">LIST OF FALAKNAZ GROUP RENT CHEQUE  APPROVAL SHEET  </t>
  </si>
  <si>
    <t xml:space="preserve">LIST OF KAY KAY GROUP RENT CHEQUE  APPROVAL SHEET  </t>
  </si>
  <si>
    <t xml:space="preserve">LIST OF PROFRSSIONAL MANAGMENT RENT CHEQUES  </t>
  </si>
  <si>
    <t xml:space="preserve">LIST OF KAY KAY GROUP RENT CHEQUES </t>
  </si>
  <si>
    <t>LIST OF FALAKNAZ GROUP RENT CHEQUES</t>
  </si>
  <si>
    <t xml:space="preserve">PROFRSSIONAL MANAGMENT RENT CHEQUES  </t>
  </si>
  <si>
    <t xml:space="preserve">KAY KAY GROUP RENT CHEQUES </t>
  </si>
  <si>
    <t>FALAKNAZ GROUP RENT CHEQUES</t>
  </si>
  <si>
    <t>CHEQUE PAID TO ALLOTEE 
(FALAKNAZ GROUP ) 
AGAINST SHOP RENT FOR THE MONTH OF MARCH-2026(SHOP #G-26)</t>
  </si>
  <si>
    <t>CHEQUE PAID TO ALLOTEE 
(KAY KAY GROUP ) 
AGAINST SHOP RENT FOR THE MONTH OF MARCH-2026(SHOP #G-36)</t>
  </si>
  <si>
    <t>CHEQUE PAID TO ALLOTEE 
(FALAKNAZ GROUP ) 
AGAINST SHOP RENT FOR THE MONTH OF MARCH-2026(SHOP #G-38)</t>
  </si>
  <si>
    <t>CHEQUE PAID TO ALLOTEE 
(KAY KAY GROUP ) 
AGAINST SHOP RENT FOR THE MONTH OF MARCH-2026(SHOP #G-69)</t>
  </si>
  <si>
    <t>CHEQUE PAID TO ALLOTEE 
(KAY KAY GROUP ) 
AGAINST SHOP RENT FOR THE MONTH OF MARCH-2026(SHOP #G-71)</t>
  </si>
  <si>
    <t>CHEQUE PAID TO ALLOTEE 
(PROFRSSIONAL MANAGMENT) 
AGAINST SHOP RENT FOR THE MONTH OF MARCH-2026(SHOP #G-18)</t>
  </si>
  <si>
    <t>CHEQUE PAID TO ALLOTEE 
(PROFRSSIONAL MANAGMENT) 
AGAINST SHOP RENT FOR THE MONTH OF MARCH-2026(SHOP #G-40)</t>
  </si>
  <si>
    <t>CHEQUE PAID TO ALLOTEE 
(PROFRSSIONAL MANAGMENT) 
AGAINST SHOP RENT FOR THE MONTH OF MARCH-2026(SHOP #G-43)</t>
  </si>
  <si>
    <t>CHEQUE PAID TO ALLOTEE 
(FALAKNAZ GROUP ) 
AGAINST SHOP RENT FOR THE MONTH OF MARCH-2026(SHOP #G-44)</t>
  </si>
  <si>
    <t>CHEQUE PAID TO ALLOTEE 
(PROFRSSIONAL MANAGMENT) 
AGAINST SHOP RENT FOR THE MONTH OF MARCH-2026(SHOP #G-45)</t>
  </si>
  <si>
    <t>LIST OF COMPANIES RENT CHEQUES (MARCH)</t>
  </si>
  <si>
    <t>LIST OF COMPANIES RENT CHEQUES (APRIL)</t>
  </si>
  <si>
    <t>CHEQUE PAID TO ALLOTEE 
(FALAKNAZ GROUP ) 
AGAINST SHOP RENT FOR THE MONTH OF APRIL-2026(SHOP #G-26)</t>
  </si>
  <si>
    <t>CHEQUE PAID TO ALLOTEE 
(KAY KAY GROUP ) 
AGAINST SHOP RENT FOR THE MONTH OF APRIL-2026(SHOP #G-36)</t>
  </si>
  <si>
    <t>CHEQUE PAID TO ALLOTEE 
(FALAKNAZ GROUP ) 
AGAINST SHOP RENT FOR THE MONTH OF APRIL-2026(SHOP #G-38)</t>
  </si>
  <si>
    <t>CHEQUE PAID TO ALLOTEE 
(PROFRSSIONAL MANAGMENT) 
AGAINST SHOP RENT FOR THE MONTH OF APRIL-2026(SHOP #G-18)</t>
  </si>
  <si>
    <t>CHEQUE PAID TO ALLOTEE 
(PROFRSSIONAL MANAGMENT) 
AGAINST SHOP RENT FOR THE MONTH OF APRIL-2026(SHOP #G-40)</t>
  </si>
  <si>
    <t>CHEQUE PAID TO ALLOTEE 
(PROFRSSIONAL MANAGMENT) 
AGAINST SHOP RENT FOR THE MONTH OF APRIL-2026(SHOP #G-43)</t>
  </si>
  <si>
    <t>CHEQUE PAID TO ALLOTEE 
(FALAKNAZ GROUP ) 
AGAINST SHOP RENT FOR THE MONTH OF APRIL-2026(SHOP #G-44)</t>
  </si>
  <si>
    <t>CHEQUE PAID TO ALLOTEE 
(PROFRSSIONAL MANAGMENT) 
AGAINST SHOP RENT FOR THE MONTH OF APRIL-2026(SHOP #G-45)</t>
  </si>
  <si>
    <t>CHEQUE PAID TO ALLOTEE 
(KAY KAY GROUP ) 
AGAINST SHOP RENT FOR THE MONTH OF APRIL-2026(SHOP #G-69)</t>
  </si>
  <si>
    <t>CHEQUE PAID TO ALLOTEE 
(KAY KAY GROUP ) 
AGAINST SHOP RENT FOR THE MONTH OF APRIL-2026(SHOP #G-71)</t>
  </si>
  <si>
    <t>SUMMARY  (JAN-26 - APR-26)</t>
  </si>
  <si>
    <t>CHQ NO.</t>
  </si>
  <si>
    <t xml:space="preserve"> DATE</t>
  </si>
  <si>
    <t>20-04-26</t>
  </si>
  <si>
    <t>22-04-26</t>
  </si>
  <si>
    <t>-</t>
  </si>
  <si>
    <t>17-04-26</t>
  </si>
  <si>
    <t>21-05-26</t>
  </si>
  <si>
    <t>25-05-26</t>
  </si>
  <si>
    <t>22-05-26</t>
  </si>
  <si>
    <t>18-06-2026</t>
  </si>
  <si>
    <t>DATE 20-06-2026</t>
  </si>
  <si>
    <t xml:space="preserve">                                                                    </t>
  </si>
  <si>
    <r>
      <rPr>
        <u/>
        <sz val="12"/>
        <rFont val="Calibri"/>
        <family val="2"/>
      </rPr>
      <t xml:space="preserve">                                         </t>
    </r>
    <r>
      <rPr>
        <sz val="12"/>
        <rFont val="Calibri"/>
        <family val="2"/>
      </rPr>
      <t xml:space="preserve">                                                                                                                       </t>
    </r>
  </si>
  <si>
    <t>CHEQUE PAID TO ALLOTEE 
(ALIYA BEGUM ) 
AGAINST SHOP RENT FOR THE MONTH OF APRIL-2026
(SHOP #G-81)</t>
  </si>
  <si>
    <t>CHEQUE PAID TO ALLOTEE 
(MUHAMMAD IMRAN ) 
AGAINST SHOP RENT FOR THE MONTH OF APRIL-2026
(SHOP #G-27)</t>
  </si>
  <si>
    <t>CHEQUE PAID TO ALLOTEE 
(HAMID ALI ) 
AGAINST SHOP RENT FOR THE MONTH OF APRIL-2026
(SHOP #G-28)</t>
  </si>
  <si>
    <t>CHEQUE PAID TO ALLOTEE 
(ASIM QURESHI /SAQIB QURESHI) 
AGAINST SHOP RENT FOR THE MONTH OF APRIL-2026
(SHOP #G-30)</t>
  </si>
  <si>
    <t>CHEQUE PAID TO ALLOTEE 
(ASHFAQ AHMED SIDDIQUI ) 
AGAINST SHOP RENT FOR THE MONTH OF APRIL-2026
(SHOP #G-31)</t>
  </si>
  <si>
    <t>CHEQUE PAID TO ALLOTEE 
(ASHFAQ AHMED SIDDIQUE ) 
AGAINST SHOP RENT FOR THE MONTH OF APRIL-2026
(SHOP #G-32)</t>
  </si>
  <si>
    <t>CHEQUE PAID TO ALLOTEE 
(DANISH AHMED SIDDIQUE) 
AGAINST SHOP RENT FOR THE MONTH OF APRIL-2026
(SHOP #G-34)</t>
  </si>
  <si>
    <t>CHEQUE PAID TO ALLOTEE 
(AZHAR ALI ) 
AGAINST SHOP RENT FOR THE MONTH OF APRIL-2026
(SHOP #G-37)</t>
  </si>
  <si>
    <t>CHEQUE PAID TO ALLOTEE 
(SYED RIZWAN HUSSAIN) 
AGAINST SHOP RENT FOR THE MONTH OF APRIL-2026
(SHOP #G-19)</t>
  </si>
  <si>
    <t>CHEQUE PAID TO ALLOTEE 
(SYED ASIF ALI) 
AGAINST SHOP RENT FOR THE MONTH OF APRIL-2026
(SHOP #G-20)</t>
  </si>
  <si>
    <t>CHEQUE PAID TO ALLOTEE 
(NIAZ AHMED  ) 
AGAINST SHOP RENT FOR THE MONTH OF APRIL-2026
(SHOP #G-21)</t>
  </si>
  <si>
    <t>CHEQUE PAID TO ALLOTEE 
(RIAZ AHMED  ) 
AGAINST SHOP RENT FOR THE MONTH OF APRIL-2026
(SHOP #G-22)</t>
  </si>
  <si>
    <t>CHEQUE PAID TO ALLOTEE 
(MUHAMMAD LAEEQ ) 
AGAINST SHOP RENT FOR THE MONTH OF APRIL-2026
(SHOP #G-23)</t>
  </si>
  <si>
    <t>CHEQUE PAID TO ALLOTEE 
(SYED SAMEER ABBAS ZAIDI ) 
AGAINST SHOP RENT FOR THE MONTH OF APRIL-2026
(SHOP #G-25)</t>
  </si>
  <si>
    <t>CHEQUE PAID TO ALLOTEE 
(MUHAMMAD ABID SALEEM UDDIN) 
AGAINST SHOP RENT FOR THE MONTH OF APRIL-2026
(SHOP #G-41)</t>
  </si>
  <si>
    <t>CHEQUE PAID TO ALLOTEE 
(SOHAIL INTEZAR ) 
AGAINST SHOP RENT FOR THE MONTH OF APRIL-2026
(SHOP #G-67)</t>
  </si>
  <si>
    <t>CHEQUE PAID TO ALLOTEE 
(MUHAMMAD RAFIQUE BURIRO ) 
AGAINST SHOP RENT FOR THE MONTH OF APRIL-2026
(SHOP #G-68)</t>
  </si>
  <si>
    <t>CHEQUE PAID TO ALLOTEE 
(MUHAMMAD RAFIQUE BURIRO ) 
AGAINST SHOP RENT FOR THE MONTH OF MAY-2026
(SHOP #G-68)</t>
  </si>
  <si>
    <t>CHEQUE PAID TO ALLOTEE 
(SOHAIL INTEZAR ) 
AGAINST SHOP RENT FOR THE MONTH OF MAY-2026
(SHOP #G-67)</t>
  </si>
  <si>
    <t>CHEQUE PAID TO ALLOTEE 
(MUHAMMAD ABID SALEEM UDDIN) 
AGAINST SHOP RENT FOR THE MONTH OF MAY-2026
(SHOP #G-41)</t>
  </si>
  <si>
    <t>CHEQUE PAID TO ALLOTEE 
(SYED SAMEER ABBAS ZAIDI ) 
AGAINST SHOP RENT FOR THE MONTH OF MAY-2026
(SHOP #G-25)</t>
  </si>
  <si>
    <t>CHEQUE PAID TO ALLOTEE 
(MUHAMMAD LAEEQ ) 
AGAINST SHOP RENT FOR THE MONTH OF MAY-2026
(SHOP #G-23)</t>
  </si>
  <si>
    <t>CHEQUE PAID TO ALLOTEE 
(RIAZ AHMED  ) 
AGAINST SHOP RENT FOR THE MONTH OF MAY-2026
(SHOP #G-22)</t>
  </si>
  <si>
    <t>CHEQUE PAID TO ALLOTEE 
(NIAZ AHMED  ) 
AGAINST SHOP RENT FOR THE MONTH OF MAY-2026
(SHOP #G-21)</t>
  </si>
  <si>
    <t>CHEQUE PAID TO ALLOTEE 
(SYED ASIF ALI) 
AGAINST SHOP RENT FOR THE MONTH OF MAY-2026
(SHOP #G-20)</t>
  </si>
  <si>
    <t>CHEQUE PAID TO ALLOTEE 
(SYED RIZWAN HUSSAIN) 
AGAINST SHOP RENT FOR THE MONTH OF MAY-2026
(SHOP #G-19)</t>
  </si>
  <si>
    <t>CHEQUE PAID TO ALLOTEE 
(AZHAR ALI ) 
AGAINST SHOP RENT FOR THE MONTH OF MAY-2026
(SHOP #G-37)</t>
  </si>
  <si>
    <t>CHEQUE PAID TO ALLOTEE 
(DANISH AHMED SIDDIQUE) 
AGAINST SHOP RENT FOR THE MONTH OF MAY-2026
(SHOP #G-34)</t>
  </si>
  <si>
    <t>CHEQUE PAID TO ALLOTEE 
(ASHFAQ AHMED SIDDIQUE ) 
AGAINST SHOP RENT FOR THE MONTH OF MAY-2026
(SHOP #G-32)</t>
  </si>
  <si>
    <t>CHEQUE PAID TO ALLOTEE 
(ASHFAQ AHMED SIDDIQUI ) 
AGAINST SHOP RENT FOR THE MONTH OF MAY-2026
(SHOP #G-31)</t>
  </si>
  <si>
    <t>CHEQUE PAID TO ALLOTEE 
(ASIM QURESHI /SAQIB QURESHI) 
AGAINST SHOP RENT FOR THE MONTH OF MAY-2026
(SHOP #G-30)</t>
  </si>
  <si>
    <t>CHEQUE PAID TO ALLOTEE 
(HAMID ALI ) 
AGAINST SHOP RENT FOR THE MONTH OF MAY-2026
(SHOP #G-28)</t>
  </si>
  <si>
    <t>CHEQUE PAID TO ALLOTEE 
(MUHAMMAD IMRAN ) 
AGAINST SHOP RENT FOR THE MONTH OF MAY-2026
(SHOP #G-27)</t>
  </si>
  <si>
    <t>CHEQUE PAID TO ALLOTEE 
(ALIYA BEGUM ) 
AGAINST SHOP RENT FOR THE MONTH OF MAY-2026
(SHOP #G-81)</t>
  </si>
  <si>
    <t>HOLD</t>
  </si>
  <si>
    <t>CHEQUE PAID TO ALLOTEE 
(SYED SAIF UR REHMAN) 
AGAINST SHOP RENT FOR THE MONTH OF APRIL-2026
(SHOP #G-82)</t>
  </si>
  <si>
    <t>CHEQUE PAID TO ALLOTEE 
(SYED SAIF UR REHMAN) 
AGAINST SHOP RENT FOR THE MONTH OF MAY-2026
(SHOP #G-82)</t>
  </si>
  <si>
    <t>ROSHNI ABAYA</t>
  </si>
  <si>
    <t>UG-031</t>
  </si>
  <si>
    <t>ABDUL HAMEED</t>
  </si>
  <si>
    <t>ZAM ZAM GIFT CENTRE</t>
  </si>
  <si>
    <t>UG-200</t>
  </si>
  <si>
    <t>NAZAR UDDIN</t>
  </si>
  <si>
    <t>THE BABY SHOP</t>
  </si>
  <si>
    <t>UG-065</t>
  </si>
  <si>
    <t>UG-064</t>
  </si>
  <si>
    <t>UG-084</t>
  </si>
  <si>
    <t>UG-085</t>
  </si>
  <si>
    <t>M. ANIS QURESHI</t>
  </si>
  <si>
    <t>?</t>
  </si>
  <si>
    <t>CHINA MART</t>
  </si>
  <si>
    <t>UG-096</t>
  </si>
  <si>
    <t>UG-097</t>
  </si>
  <si>
    <t>UG-115</t>
  </si>
  <si>
    <t>UG-116</t>
  </si>
  <si>
    <t>UG-118</t>
  </si>
  <si>
    <t>UG-124</t>
  </si>
  <si>
    <t>UG-125</t>
  </si>
  <si>
    <t>UG-126</t>
  </si>
  <si>
    <t>UG-127</t>
  </si>
  <si>
    <t>UG-146</t>
  </si>
  <si>
    <t>UG-147</t>
  </si>
  <si>
    <t>UG-148</t>
  </si>
  <si>
    <t>NAHEED NAZ</t>
  </si>
  <si>
    <t>FARHANA ANJUM</t>
  </si>
  <si>
    <t>SHEIKH M.UMAIR</t>
  </si>
  <si>
    <t>BEMBENINE/CHILL APPAREL</t>
  </si>
  <si>
    <t>ELENOR / MANSAB</t>
  </si>
  <si>
    <t>B. BAG WALA</t>
  </si>
  <si>
    <t>G0049</t>
  </si>
  <si>
    <t>MAHMOOD ALAM</t>
  </si>
  <si>
    <t>HRY JEWELLERS/ LEATHER TOWN</t>
  </si>
  <si>
    <t>G0097</t>
  </si>
  <si>
    <t>MUHAMMAD QASIM</t>
  </si>
  <si>
    <t>TABINDA</t>
  </si>
  <si>
    <t>MUHAMMAD ABBAS MALIK</t>
  </si>
  <si>
    <t>BISON BAGS</t>
  </si>
  <si>
    <t>UG-112</t>
  </si>
  <si>
    <t>MAJID IQBAL</t>
  </si>
  <si>
    <t>SONEX</t>
  </si>
  <si>
    <t>UG-040</t>
  </si>
  <si>
    <t>WAQAR AHMED</t>
  </si>
  <si>
    <t>RAMZAN &amp; SONS</t>
  </si>
  <si>
    <t>MUHAMMAD ADIL BROHI</t>
  </si>
  <si>
    <t>UG-045</t>
  </si>
  <si>
    <t>ROYAL INFANTS</t>
  </si>
  <si>
    <t>ALI ZAHID</t>
  </si>
  <si>
    <t>UG-161</t>
  </si>
  <si>
    <t>CHOTU TOYS</t>
  </si>
  <si>
    <t>MUHAMMAD REHAN MASHKOOR</t>
  </si>
  <si>
    <t>UG-133</t>
  </si>
  <si>
    <t>AISHA NIAZ AHMED</t>
  </si>
  <si>
    <t>UG-132</t>
  </si>
  <si>
    <t>LUGGAGE POINTS</t>
  </si>
  <si>
    <t>SYEDA UZMA RAHAT</t>
  </si>
  <si>
    <t>UG-134</t>
  </si>
  <si>
    <t>RIMAL ABAYA</t>
  </si>
  <si>
    <t>MUHAMMAD SALMAN</t>
  </si>
  <si>
    <t>UG-123</t>
  </si>
  <si>
    <t>UROOJ FASHION</t>
  </si>
  <si>
    <t>UG-131</t>
  </si>
  <si>
    <t>HIJABAYA</t>
  </si>
  <si>
    <t>MUNSHI AHMED</t>
  </si>
  <si>
    <t>UG-042</t>
  </si>
  <si>
    <t>DÉCOR</t>
  </si>
  <si>
    <t>SYED MOHIUDDIN</t>
  </si>
  <si>
    <t>UG-080</t>
  </si>
  <si>
    <t>ARIFA ARZOO</t>
  </si>
  <si>
    <t xml:space="preserve">NAHEED AKHTAR </t>
  </si>
  <si>
    <t>NAHEED AKHTAR</t>
  </si>
  <si>
    <t>UG-149</t>
  </si>
  <si>
    <t>RUBINA NADEEM</t>
  </si>
  <si>
    <t>UG-036</t>
  </si>
  <si>
    <t>IRFAN AHMED KHAN</t>
  </si>
  <si>
    <t>MARRIUM SUFYAN</t>
  </si>
  <si>
    <t>ROBINA SALEEM</t>
  </si>
  <si>
    <t>LADLA KIDS</t>
  </si>
  <si>
    <t>UG-114</t>
  </si>
  <si>
    <t>MUHAMMAD SHAKIL</t>
  </si>
  <si>
    <t>UG-160</t>
  </si>
  <si>
    <t>MUHAMMAD USMAN</t>
  </si>
  <si>
    <t>UG-199</t>
  </si>
  <si>
    <t>UG-046</t>
  </si>
  <si>
    <t>UG-047</t>
  </si>
  <si>
    <t>UG-021</t>
  </si>
  <si>
    <t>UG-022</t>
  </si>
  <si>
    <t>UG-023</t>
  </si>
  <si>
    <t>UG-139</t>
  </si>
  <si>
    <t>UG-138</t>
  </si>
  <si>
    <t>UG-122</t>
  </si>
  <si>
    <t>UG-150</t>
  </si>
  <si>
    <t>UG-151</t>
  </si>
  <si>
    <t>27-07-2026</t>
  </si>
  <si>
    <t>27-06-2026</t>
  </si>
  <si>
    <t>PAID</t>
  </si>
  <si>
    <t>IN HAND</t>
  </si>
  <si>
    <t>18-07-2026</t>
  </si>
  <si>
    <t>ALLOTTEES RENT SUMMARY</t>
  </si>
  <si>
    <t>MONTHS</t>
  </si>
  <si>
    <t>RENT AMOUNT</t>
  </si>
  <si>
    <t>RENT PAID</t>
  </si>
  <si>
    <t>BALANCE</t>
  </si>
  <si>
    <t>JAN</t>
  </si>
  <si>
    <t>FEB</t>
  </si>
  <si>
    <t>MARCH</t>
  </si>
  <si>
    <t>APRIL</t>
  </si>
  <si>
    <t>MAY</t>
  </si>
  <si>
    <t>TOTAL</t>
  </si>
  <si>
    <t>NENDO EXTENTION</t>
  </si>
  <si>
    <t>APR</t>
  </si>
  <si>
    <t>JUNE</t>
  </si>
  <si>
    <t>GRAND TOTAL AMOUNT</t>
  </si>
  <si>
    <t>ZUMS</t>
  </si>
  <si>
    <t>UG203</t>
  </si>
  <si>
    <t>ZEHRA SHOP</t>
  </si>
  <si>
    <t>RIAZ AHMED (ISRAR AHMED)</t>
  </si>
  <si>
    <t>CHEQUE PAID TO ALLOTEE 
(ALIYA BEGUM ) 
AGAINST SHOP RENT FOR THE MONTH OF JUNE-2026
(SHOP #G-81)</t>
  </si>
  <si>
    <t>CHEQUE PAID TO ALLOTEE 
(MUHAMMAD IMRAN ) 
AGAINST SHOP RENT FOR THE MONTH OF JUNE-2026
(SHOP #G-27)</t>
  </si>
  <si>
    <t>CHEQUE PAID TO ALLOTEE 
(HAMID ALI ) 
AGAINST SHOP RENT FOR THE MONTH OF JUNE-2026
(SHOP #G-28)</t>
  </si>
  <si>
    <t>CHEQUE PAID TO ALLOTEE 
(ASIM QURESHI /SAQIB QURESHI) 
AGAINST SHOP RENT FOR THE MONTH OF JUNE-2026
(SHOP #G-30)</t>
  </si>
  <si>
    <t>CHEQUE PAID TO ALLOTEE 
(ASHFAQ AHMED SIDDIQUI ) 
AGAINST SHOP RENT FOR THE MONTH OF JUNE-2026
(SHOP #G-31)</t>
  </si>
  <si>
    <t>CHEQUE PAID TO ALLOTEE 
(ASHFAQ AHMED SIDDIQUE ) 
AGAINST SHOP RENT FOR THE MONTH OF JUNE-2026
(SHOP #G-32)</t>
  </si>
  <si>
    <t>CHEQUE PAID TO ALLOTEE 
(DANISH AHMED SIDDIQUE) 
AGAINST SHOP RENT FOR THE MONTH OF JUNE-2026
(SHOP #G-34)</t>
  </si>
  <si>
    <t>CHEQUE PAID TO ALLOTEE 
(AZHAR ALI ) 
AGAINST SHOP RENT FOR THE MONTH OF JUNE-2026
(SHOP #G-37)</t>
  </si>
  <si>
    <t>CHEQUE PAID TO ALLOTEE 
(SYED RIZWAN HUSSAIN) 
AGAINST SHOP RENT FOR THE MONTH OF JUNE-2026
(SHOP #G-19)</t>
  </si>
  <si>
    <t>CHEQUE PAID TO ALLOTEE 
(SYED ASIF ALI) 
AGAINST SHOP RENT FOR THE MONTH OF JUNE-2026
(SHOP #G-20)</t>
  </si>
  <si>
    <t>CHEQUE PAID TO ALLOTEE 
(NIAZ AHMED  ) 
AGAINST SHOP RENT FOR THE MONTH OF JUNE-2026
(SHOP #G-21)</t>
  </si>
  <si>
    <t>CHEQUE PAID TO ALLOTEE 
(RIAZ AHMED  ) 
AGAINST SHOP RENT FOR THE MONTH OF JUNE-2026
(SHOP #G-22)</t>
  </si>
  <si>
    <t>CHEQUE PAID TO ALLOTEE 
(MUHAMMAD LAEEQ ) 
AGAINST SHOP RENT FOR THE MONTH OF JUNE-2026
(SHOP #G-23)</t>
  </si>
  <si>
    <t>CHEQUE PAID TO ALLOTEE 
(SYED SAMEER ABBAS ZAIDI ) 
AGAINST SHOP RENT FOR THE MONTH OF JUNE-2026
(SHOP #G-25)</t>
  </si>
  <si>
    <t>CHEQUE PAID TO ALLOTEE 
(MUHAMMAD ABID SALEEM UDDIN) 
AGAINST SHOP RENT FOR THE MONTH OF JUNE-2026
(SHOP #G-41)</t>
  </si>
  <si>
    <t>CHEQUE PAID TO ALLOTEE 
(SOHAIL INTEZAR ) 
AGAINST SHOP RENT FOR THE MONTH OF JUNE-2026
(SHOP #G-67)</t>
  </si>
  <si>
    <t>CHEQUE PAID TO ALLOTEE 
(MUHAMMAD RAFIQUE BURIRO ) 
AGAINST SHOP RENT FOR THE MONTH OF JUNE-2026
(SHOP #G-68)</t>
  </si>
  <si>
    <t>NENDO EXTENSION</t>
  </si>
  <si>
    <t>CHEQUE PAID TO ALLOTEE 
( SYED SAIF UR REHMAN ) 
AGAINST SHOP RENT FOR THE MONTH OF JUNE-2026
(SHOP #G-82)</t>
  </si>
  <si>
    <t>CHEQUE PAID TO ALLOTEE 
(SAQIB QURESHI) 
AGAINST SHOP RENT FOR THE MONTH OF JUNE-2026
(SHOP #G-30)</t>
  </si>
  <si>
    <t>CHEQUE PAID TO ALLOTEE 
(SYED RIZWAN HUSSAIN) 
AGAINST SHOP RENT FOR THE MONTH OF JULY-2026
(SHOP #G-19)</t>
  </si>
  <si>
    <t>CHEQUE PAID TO ALLOTEE 
(SYED ASIF ALI) 
AGAINST SHOP RENT FOR THE MONTH OF JULY-2026
(SHOP #G-20)</t>
  </si>
  <si>
    <t>CHEQUE PAID TO ALLOTEE 
(NIAZ AHMED  ) 
AGAINST SHOP RENT FOR THE MONTH OF JULY-2026
(SHOP #G-21)</t>
  </si>
  <si>
    <t>CHEQUE PAID TO ALLOTEE 
(RIAZ AHMED  ) 
AGAINST SHOP RENT FOR THE MONTH OF JULY-2026
(SHOP #G-22)</t>
  </si>
  <si>
    <t>CHEQUE PAID TO ALLOTEE 
(MUHAMMAD LAEEQ ) 
AGAINST SHOP RENT FOR THE MONTH OF JULY-2026
(SHOP #G-23)</t>
  </si>
  <si>
    <t>CHEQUE PAID TO ALLOTEE 
(SYED SAMEER ABBAS ZAIDI ) 
AGAINST SHOP RENT FOR THE MONTH OF JULY-2026
(SHOP #G-25)</t>
  </si>
  <si>
    <t>CHEQUE PAID TO ALLOTEE 
(MUHAMMAD ABID SALEEM UDDIN) 
AGAINST SHOP RENT FOR THE MONTH OF JULY-2026
(SHOP #G-41)</t>
  </si>
  <si>
    <t>CHEQUE PAID TO ALLOTEE 
(SYED SAMMER ABBAS ZAIDI ) 
AGAINST SHOP RENT FOR THE MONTH OF JULY-2026
(SHOP #G-25)</t>
  </si>
  <si>
    <t>CHEQUE PAID TO ALLOTEE 
(RIAZ AHMED  ) 
AGAINST SHOP RENT FOR THE MONTH OF JUNE -2026
(SHOP #G-22)</t>
  </si>
  <si>
    <t>CHEQUE PAID TO ALLOTEE 
(SYED SAMMER ABBAS ZAIDI ) 
AGAINST SHOP RENT FOR THE MONTH OF JUNE-2026
(SHOP #G-25)</t>
  </si>
  <si>
    <t xml:space="preserve"> </t>
  </si>
  <si>
    <t>RENT MONTH OF JUNE-2026</t>
  </si>
  <si>
    <t>RENT MONTH OF JULY-2026</t>
  </si>
  <si>
    <t>28-08-2026</t>
  </si>
  <si>
    <t>29-08-2026</t>
  </si>
  <si>
    <t>ISRAR AHMED/RIAZ AHMED</t>
  </si>
  <si>
    <t>27-08-2026</t>
  </si>
  <si>
    <t>MARFAN</t>
  </si>
  <si>
    <t>CHEQUE PAID TO ALLOTEE 
( HINA NAZ ) 
AGAINST SHOP RENT FOR THE MONTH OF JUNE-2026
(SHOP #UG-159)</t>
  </si>
  <si>
    <t>AH STYLE</t>
  </si>
  <si>
    <t>CHEQUE PAID TO ALLOTEE 
( MUHAMMAD ANAS MATIN ) 
AGAINST SHOP RENT FOR THE MONTH OF JUNE-2026
(SHOP #UG-158)</t>
  </si>
  <si>
    <t>CHEQUE NO.</t>
  </si>
  <si>
    <t>BANK</t>
  </si>
  <si>
    <t>DIB</t>
  </si>
  <si>
    <t>HIJABEEZ</t>
  </si>
  <si>
    <t>G0091</t>
  </si>
  <si>
    <t>G0092</t>
  </si>
  <si>
    <t>SYED ZAHEER AHMED ZAIDI</t>
  </si>
  <si>
    <t>FAISAL RASHEED</t>
  </si>
  <si>
    <t>POSSESION NOT YET</t>
  </si>
  <si>
    <t xml:space="preserve">AH STYLE </t>
  </si>
  <si>
    <t>UG0158</t>
  </si>
  <si>
    <t>MUHAMMAD ANAS MATIN</t>
  </si>
  <si>
    <t>UG0159</t>
  </si>
  <si>
    <t>HINA NAZ</t>
  </si>
  <si>
    <t>UG0030</t>
  </si>
  <si>
    <t>UG0031</t>
  </si>
  <si>
    <t>UG0032</t>
  </si>
  <si>
    <t>UG0036</t>
  </si>
  <si>
    <t>MUZAFFAR AHMED</t>
  </si>
  <si>
    <t>TARIQ AHMED</t>
  </si>
  <si>
    <t>RAJA WAQAS SALEH &amp; RAJA JAWAD</t>
  </si>
  <si>
    <t>RENT MONTH OF AUG-2026</t>
  </si>
  <si>
    <t>MANSAB</t>
  </si>
  <si>
    <t>CHILL APPAREL</t>
  </si>
  <si>
    <t>MARIUM SUFYAN</t>
  </si>
  <si>
    <t>NOOR US SABA</t>
  </si>
  <si>
    <t>HINA ALI</t>
  </si>
  <si>
    <t>SHAIKH M UMAIR &amp; VERDAH KHATOON</t>
  </si>
  <si>
    <t>MEHMOOD</t>
  </si>
  <si>
    <t>UG096</t>
  </si>
  <si>
    <t>UG115</t>
  </si>
  <si>
    <t>UG116</t>
  </si>
  <si>
    <t>UG118</t>
  </si>
  <si>
    <t>UG124</t>
  </si>
  <si>
    <t>UG125</t>
  </si>
  <si>
    <t>UG127</t>
  </si>
  <si>
    <t>UG146</t>
  </si>
  <si>
    <t>UG148</t>
  </si>
  <si>
    <t>UG149</t>
  </si>
  <si>
    <t>UG147</t>
  </si>
  <si>
    <t>GIVEN AS JUNE CHQ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</si>
</sst>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42">
    <font>
      <sz val="11"/>
      <name val="Calibri"/>
    </font>
    <font>
      <sz val="11"/>
      <name val="Calibri"/>
      <family val="2"/>
    </font>
    <font>
      <i/>
      <sz val="12"/>
      <name val="Calibri"/>
      <family val="2"/>
    </font>
    <font>
      <b/>
      <i/>
      <sz val="16"/>
      <name val="Calibri"/>
      <family val="2"/>
    </font>
    <font>
      <b/>
      <i/>
      <sz val="14"/>
      <name val="Calibri"/>
      <family val="2"/>
    </font>
    <font>
      <b/>
      <i/>
      <sz val="18"/>
      <name val="Calibri"/>
      <family val="2"/>
    </font>
    <font>
      <b/>
      <i/>
      <sz val="12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b/>
      <i/>
      <sz val="20"/>
      <name val="Calibri"/>
      <family val="2"/>
    </font>
    <font>
      <i/>
      <sz val="18"/>
      <name val="Calibri"/>
      <family val="2"/>
    </font>
    <font>
      <sz val="20"/>
      <name val="Calibri"/>
      <family val="2"/>
    </font>
    <font>
      <b/>
      <i/>
      <sz val="24"/>
      <name val="Calibri"/>
      <family val="2"/>
    </font>
    <font>
      <b/>
      <sz val="14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5"/>
      <name val="Calibri"/>
      <family val="2"/>
    </font>
    <font>
      <b/>
      <i/>
      <sz val="25"/>
      <name val="Calibri"/>
      <family val="2"/>
    </font>
    <font>
      <sz val="25"/>
      <name val="Calibri"/>
      <family val="2"/>
    </font>
    <font>
      <b/>
      <sz val="25"/>
      <color theme="1"/>
      <name val="Calibri"/>
      <family val="2"/>
      <scheme val="minor"/>
    </font>
    <font>
      <i/>
      <sz val="16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i/>
      <sz val="30"/>
      <name val="Calibri"/>
      <family val="2"/>
    </font>
    <font>
      <sz val="30"/>
      <name val="Calibri"/>
      <family val="2"/>
    </font>
    <font>
      <b/>
      <sz val="30"/>
      <name val="Calibri"/>
      <family val="2"/>
    </font>
    <font>
      <b/>
      <i/>
      <sz val="30"/>
      <name val="Calibri"/>
      <family val="2"/>
    </font>
    <font>
      <b/>
      <sz val="30"/>
      <color theme="1"/>
      <name val="Calibri"/>
      <family val="2"/>
      <scheme val="minor"/>
    </font>
    <font>
      <u/>
      <sz val="30"/>
      <name val="Calibri"/>
      <family val="2"/>
    </font>
    <font>
      <u/>
      <sz val="11"/>
      <name val="Calibri"/>
      <family val="2"/>
    </font>
    <font>
      <b/>
      <u/>
      <sz val="30"/>
      <name val="Calibri"/>
      <family val="2"/>
    </font>
    <font>
      <b/>
      <sz val="36"/>
      <name val="Calibri"/>
      <family val="2"/>
    </font>
    <font>
      <b/>
      <sz val="48"/>
      <name val="Calibri"/>
      <family val="2"/>
    </font>
    <font>
      <sz val="48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u/>
      <sz val="12"/>
      <name val="Calibri"/>
      <family val="2"/>
    </font>
    <font>
      <sz val="10"/>
      <color indexed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1" fillId="0" borderId="0"/>
  </cellStyleXfs>
  <cellXfs count="527">
    <xf numFmtId="0" fontId="0" fillId="0" borderId="0" xfId="0" applyFont="1" applyFill="1" applyBorder="1"/>
    <xf numFmtId="0" fontId="0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3" fontId="0" fillId="0" borderId="0" xfId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0" fillId="0" borderId="13" xfId="0" applyFont="1" applyFill="1" applyBorder="1"/>
    <xf numFmtId="0" fontId="0" fillId="0" borderId="4" xfId="0" applyFont="1" applyFill="1" applyBorder="1"/>
    <xf numFmtId="0" fontId="0" fillId="0" borderId="0" xfId="0" applyFont="1" applyFill="1" applyBorder="1"/>
    <xf numFmtId="43" fontId="6" fillId="0" borderId="8" xfId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Font="1" applyFill="1" applyBorder="1"/>
    <xf numFmtId="43" fontId="2" fillId="0" borderId="8" xfId="1" applyFont="1" applyBorder="1" applyAlignment="1">
      <alignment horizontal="center" vertical="center"/>
    </xf>
    <xf numFmtId="43" fontId="4" fillId="0" borderId="11" xfId="0" applyNumberFormat="1" applyFont="1" applyBorder="1" applyAlignment="1">
      <alignment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 wrapText="1"/>
    </xf>
    <xf numFmtId="43" fontId="3" fillId="0" borderId="24" xfId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43" fontId="2" fillId="0" borderId="27" xfId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3" fontId="4" fillId="0" borderId="22" xfId="0" applyNumberFormat="1" applyFont="1" applyBorder="1" applyAlignment="1">
      <alignment vertical="center"/>
    </xf>
    <xf numFmtId="43" fontId="3" fillId="0" borderId="0" xfId="1" applyFont="1" applyFill="1" applyBorder="1" applyAlignment="1">
      <alignment horizontal="center" vertical="center" wrapText="1"/>
    </xf>
    <xf numFmtId="43" fontId="4" fillId="0" borderId="0" xfId="0" applyNumberFormat="1" applyFont="1" applyBorder="1" applyAlignment="1">
      <alignment vertical="center"/>
    </xf>
    <xf numFmtId="43" fontId="2" fillId="0" borderId="7" xfId="1" applyFont="1" applyBorder="1" applyAlignment="1">
      <alignment horizontal="center" vertical="center"/>
    </xf>
    <xf numFmtId="0" fontId="0" fillId="0" borderId="0" xfId="0" applyFont="1" applyFill="1" applyBorder="1"/>
    <xf numFmtId="43" fontId="2" fillId="0" borderId="8" xfId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43" fontId="2" fillId="0" borderId="8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0" fontId="2" fillId="0" borderId="29" xfId="0" applyFont="1" applyBorder="1" applyAlignment="1">
      <alignment vertical="center" wrapText="1"/>
    </xf>
    <xf numFmtId="0" fontId="0" fillId="0" borderId="0" xfId="0" applyFont="1" applyFill="1" applyBorder="1"/>
    <xf numFmtId="43" fontId="3" fillId="0" borderId="6" xfId="1" applyFont="1" applyBorder="1" applyAlignment="1">
      <alignment horizontal="center" vertical="center" wrapText="1"/>
    </xf>
    <xf numFmtId="43" fontId="4" fillId="0" borderId="10" xfId="0" applyNumberFormat="1" applyFont="1" applyBorder="1" applyAlignment="1">
      <alignment vertical="center"/>
    </xf>
    <xf numFmtId="0" fontId="7" fillId="0" borderId="0" xfId="0" applyFont="1" applyFill="1" applyBorder="1"/>
    <xf numFmtId="0" fontId="5" fillId="0" borderId="5" xfId="0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8" fillId="0" borderId="0" xfId="0" applyFont="1" applyFill="1" applyBorder="1"/>
    <xf numFmtId="0" fontId="10" fillId="0" borderId="3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43" fontId="10" fillId="0" borderId="12" xfId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43" fontId="10" fillId="0" borderId="33" xfId="1" applyFont="1" applyBorder="1" applyAlignment="1">
      <alignment horizontal="center" vertical="center"/>
    </xf>
    <xf numFmtId="0" fontId="11" fillId="0" borderId="0" xfId="0" applyFont="1" applyFill="1" applyBorder="1"/>
    <xf numFmtId="4" fontId="9" fillId="0" borderId="18" xfId="1" applyNumberFormat="1" applyFont="1" applyBorder="1" applyAlignment="1">
      <alignment horizontal="center" vertical="center"/>
    </xf>
    <xf numFmtId="0" fontId="11" fillId="0" borderId="23" xfId="0" applyFont="1" applyFill="1" applyBorder="1"/>
    <xf numFmtId="0" fontId="11" fillId="0" borderId="24" xfId="0" applyFont="1" applyFill="1" applyBorder="1"/>
    <xf numFmtId="0" fontId="5" fillId="0" borderId="1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43" fontId="5" fillId="0" borderId="17" xfId="1" applyFont="1" applyBorder="1" applyAlignment="1">
      <alignment horizontal="center" vertical="center" wrapText="1"/>
    </xf>
    <xf numFmtId="43" fontId="5" fillId="0" borderId="17" xfId="1" applyFont="1" applyFill="1" applyBorder="1" applyAlignment="1">
      <alignment horizontal="center" vertical="center" wrapText="1"/>
    </xf>
    <xf numFmtId="0" fontId="0" fillId="0" borderId="0" xfId="0" applyFont="1" applyFill="1" applyBorder="1"/>
    <xf numFmtId="43" fontId="2" fillId="0" borderId="8" xfId="1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0" fontId="0" fillId="0" borderId="0" xfId="0" applyFont="1" applyFill="1" applyBorder="1"/>
    <xf numFmtId="43" fontId="2" fillId="0" borderId="8" xfId="1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36" xfId="0" applyFont="1" applyFill="1" applyBorder="1"/>
    <xf numFmtId="0" fontId="0" fillId="0" borderId="37" xfId="0" applyFont="1" applyFill="1" applyBorder="1"/>
    <xf numFmtId="0" fontId="13" fillId="0" borderId="38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/>
    <xf numFmtId="0" fontId="17" fillId="0" borderId="40" xfId="0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17" fillId="0" borderId="44" xfId="0" applyFont="1" applyFill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wrapText="1"/>
    </xf>
    <xf numFmtId="164" fontId="16" fillId="0" borderId="39" xfId="1" applyNumberFormat="1" applyFont="1" applyFill="1" applyBorder="1" applyAlignment="1">
      <alignment horizontal="center"/>
    </xf>
    <xf numFmtId="0" fontId="17" fillId="0" borderId="42" xfId="0" applyFont="1" applyBorder="1" applyAlignment="1">
      <alignment horizontal="center" wrapText="1"/>
    </xf>
    <xf numFmtId="0" fontId="16" fillId="0" borderId="2" xfId="0" applyFont="1" applyFill="1" applyBorder="1" applyAlignment="1">
      <alignment horizontal="center"/>
    </xf>
    <xf numFmtId="164" fontId="16" fillId="0" borderId="43" xfId="1" applyNumberFormat="1" applyFont="1" applyFill="1" applyBorder="1" applyAlignment="1">
      <alignment horizontal="center"/>
    </xf>
    <xf numFmtId="164" fontId="16" fillId="0" borderId="21" xfId="1" applyNumberFormat="1" applyFont="1" applyFill="1" applyBorder="1" applyAlignment="1">
      <alignment horizontal="center"/>
    </xf>
    <xf numFmtId="0" fontId="18" fillId="0" borderId="0" xfId="0" applyFont="1" applyFill="1" applyBorder="1"/>
    <xf numFmtId="0" fontId="18" fillId="0" borderId="45" xfId="0" applyFont="1" applyFill="1" applyBorder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Border="1" applyAlignment="1">
      <alignment vertical="center" wrapText="1"/>
    </xf>
    <xf numFmtId="0" fontId="19" fillId="0" borderId="0" xfId="0" applyFont="1" applyAlignment="1">
      <alignment horizontal="center"/>
    </xf>
    <xf numFmtId="0" fontId="16" fillId="0" borderId="1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16" fillId="0" borderId="48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164" fontId="16" fillId="0" borderId="49" xfId="1" applyNumberFormat="1" applyFont="1" applyFill="1" applyBorder="1" applyAlignment="1">
      <alignment horizontal="center"/>
    </xf>
    <xf numFmtId="164" fontId="16" fillId="0" borderId="0" xfId="1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64" fontId="20" fillId="0" borderId="0" xfId="1" applyNumberFormat="1" applyFont="1" applyBorder="1" applyAlignment="1">
      <alignment horizontal="center" vertical="center"/>
    </xf>
    <xf numFmtId="0" fontId="21" fillId="0" borderId="0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5" fillId="0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64" fontId="20" fillId="0" borderId="1" xfId="1" applyNumberFormat="1" applyFont="1" applyBorder="1" applyAlignment="1">
      <alignment horizontal="center" vertical="center"/>
    </xf>
    <xf numFmtId="17" fontId="21" fillId="0" borderId="1" xfId="0" applyNumberFormat="1" applyFont="1" applyFill="1" applyBorder="1" applyAlignment="1">
      <alignment horizontal="right"/>
    </xf>
    <xf numFmtId="0" fontId="0" fillId="0" borderId="1" xfId="0" applyFont="1" applyFill="1" applyBorder="1"/>
    <xf numFmtId="17" fontId="0" fillId="0" borderId="1" xfId="0" applyNumberFormat="1" applyFont="1" applyFill="1" applyBorder="1" applyAlignment="1">
      <alignment horizontal="right"/>
    </xf>
    <xf numFmtId="2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horizontal="right" vertical="center"/>
    </xf>
    <xf numFmtId="43" fontId="3" fillId="0" borderId="1" xfId="1" applyFont="1" applyBorder="1" applyAlignment="1">
      <alignment horizontal="center" vertical="center"/>
    </xf>
    <xf numFmtId="0" fontId="22" fillId="0" borderId="1" xfId="0" applyFont="1" applyFill="1" applyBorder="1"/>
    <xf numFmtId="0" fontId="0" fillId="0" borderId="0" xfId="0" applyFont="1" applyFill="1" applyBorder="1"/>
    <xf numFmtId="17" fontId="23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5" fontId="0" fillId="0" borderId="0" xfId="1" applyNumberFormat="1" applyFont="1" applyFill="1" applyBorder="1"/>
    <xf numFmtId="164" fontId="3" fillId="0" borderId="1" xfId="1" applyNumberFormat="1" applyFont="1" applyBorder="1" applyAlignment="1">
      <alignment vertical="center"/>
    </xf>
    <xf numFmtId="0" fontId="0" fillId="0" borderId="37" xfId="0" applyFont="1" applyFill="1" applyBorder="1"/>
    <xf numFmtId="0" fontId="0" fillId="0" borderId="0" xfId="0" applyFont="1" applyFill="1" applyBorder="1"/>
    <xf numFmtId="43" fontId="10" fillId="0" borderId="1" xfId="1" applyFont="1" applyBorder="1" applyAlignment="1">
      <alignment horizontal="center" vertical="center"/>
    </xf>
    <xf numFmtId="43" fontId="10" fillId="0" borderId="2" xfId="1" applyFont="1" applyBorder="1" applyAlignment="1">
      <alignment horizontal="center" vertical="center"/>
    </xf>
    <xf numFmtId="43" fontId="10" fillId="0" borderId="3" xfId="1" applyFont="1" applyBorder="1" applyAlignment="1">
      <alignment horizontal="center" vertical="center"/>
    </xf>
    <xf numFmtId="43" fontId="10" fillId="0" borderId="15" xfId="1" applyFont="1" applyBorder="1" applyAlignment="1">
      <alignment horizontal="center" vertical="center"/>
    </xf>
    <xf numFmtId="43" fontId="10" fillId="0" borderId="17" xfId="1" applyFont="1" applyBorder="1" applyAlignment="1">
      <alignment horizontal="center" vertical="center"/>
    </xf>
    <xf numFmtId="43" fontId="10" fillId="0" borderId="33" xfId="1" applyFont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0" fontId="25" fillId="0" borderId="0" xfId="0" applyFont="1" applyFill="1" applyBorder="1"/>
    <xf numFmtId="0" fontId="24" fillId="0" borderId="17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43" fontId="24" fillId="0" borderId="17" xfId="1" applyFont="1" applyBorder="1" applyAlignment="1">
      <alignment horizontal="center" vertical="center" wrapText="1"/>
    </xf>
    <xf numFmtId="43" fontId="24" fillId="0" borderId="17" xfId="1" applyFont="1" applyFill="1" applyBorder="1" applyAlignment="1">
      <alignment horizontal="center" vertical="center" wrapText="1"/>
    </xf>
    <xf numFmtId="43" fontId="24" fillId="0" borderId="5" xfId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2" fontId="24" fillId="0" borderId="12" xfId="0" applyNumberFormat="1" applyFont="1" applyBorder="1" applyAlignment="1">
      <alignment horizontal="center" vertical="center"/>
    </xf>
    <xf numFmtId="43" fontId="24" fillId="0" borderId="12" xfId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43" fontId="24" fillId="0" borderId="1" xfId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43" fontId="24" fillId="0" borderId="2" xfId="1" applyFont="1" applyBorder="1" applyAlignment="1">
      <alignment horizontal="center" vertical="center"/>
    </xf>
    <xf numFmtId="43" fontId="24" fillId="0" borderId="15" xfId="1" applyFont="1" applyBorder="1" applyAlignment="1">
      <alignment horizontal="center" vertical="center"/>
    </xf>
    <xf numFmtId="43" fontId="24" fillId="0" borderId="3" xfId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2" fontId="24" fillId="2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43" fontId="24" fillId="2" borderId="1" xfId="1" applyFont="1" applyFill="1" applyBorder="1" applyAlignment="1">
      <alignment horizontal="center" vertical="center"/>
    </xf>
    <xf numFmtId="0" fontId="24" fillId="0" borderId="4" xfId="0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2" fontId="24" fillId="0" borderId="33" xfId="0" applyNumberFormat="1" applyFont="1" applyBorder="1" applyAlignment="1">
      <alignment horizontal="center" vertical="center"/>
    </xf>
    <xf numFmtId="43" fontId="24" fillId="0" borderId="33" xfId="1" applyFont="1" applyBorder="1" applyAlignment="1">
      <alignment horizontal="center" vertical="center"/>
    </xf>
    <xf numFmtId="43" fontId="24" fillId="0" borderId="17" xfId="1" applyFont="1" applyBorder="1" applyAlignment="1">
      <alignment horizontal="center" vertical="center"/>
    </xf>
    <xf numFmtId="4" fontId="24" fillId="0" borderId="18" xfId="1" applyNumberFormat="1" applyFont="1" applyBorder="1" applyAlignment="1">
      <alignment horizontal="center" vertical="center"/>
    </xf>
    <xf numFmtId="0" fontId="25" fillId="0" borderId="23" xfId="0" applyFont="1" applyFill="1" applyBorder="1"/>
    <xf numFmtId="0" fontId="25" fillId="0" borderId="24" xfId="0" applyFont="1" applyFill="1" applyBorder="1"/>
    <xf numFmtId="0" fontId="2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Border="1"/>
    <xf numFmtId="17" fontId="21" fillId="0" borderId="0" xfId="0" applyNumberFormat="1" applyFont="1" applyFill="1" applyBorder="1" applyAlignment="1">
      <alignment horizontal="right"/>
    </xf>
    <xf numFmtId="17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27" fillId="0" borderId="1" xfId="0" applyFont="1" applyBorder="1" applyAlignment="1">
      <alignment horizontal="center" wrapText="1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 wrapText="1"/>
    </xf>
    <xf numFmtId="0" fontId="25" fillId="0" borderId="45" xfId="0" applyFont="1" applyFill="1" applyBorder="1"/>
    <xf numFmtId="0" fontId="28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25" fillId="0" borderId="45" xfId="0" applyFont="1" applyFill="1" applyBorder="1" applyAlignment="1"/>
    <xf numFmtId="0" fontId="25" fillId="0" borderId="0" xfId="0" applyFont="1" applyFill="1" applyBorder="1" applyAlignment="1"/>
    <xf numFmtId="164" fontId="26" fillId="0" borderId="1" xfId="1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/>
    </xf>
    <xf numFmtId="164" fontId="26" fillId="0" borderId="1" xfId="1" applyNumberFormat="1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164" fontId="26" fillId="0" borderId="0" xfId="1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5" fillId="0" borderId="0" xfId="0" applyFont="1" applyBorder="1"/>
    <xf numFmtId="0" fontId="28" fillId="0" borderId="0" xfId="0" applyFont="1" applyBorder="1" applyAlignment="1">
      <alignment horizontal="center" vertical="center"/>
    </xf>
    <xf numFmtId="0" fontId="29" fillId="0" borderId="0" xfId="0" applyFont="1" applyFill="1" applyBorder="1"/>
    <xf numFmtId="0" fontId="30" fillId="0" borderId="0" xfId="0" applyFont="1" applyFill="1" applyBorder="1" applyAlignment="1"/>
    <xf numFmtId="0" fontId="19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64" fontId="26" fillId="0" borderId="1" xfId="1" applyNumberFormat="1" applyFont="1" applyFill="1" applyBorder="1" applyAlignment="1">
      <alignment vertical="center"/>
    </xf>
    <xf numFmtId="164" fontId="26" fillId="0" borderId="1" xfId="0" applyNumberFormat="1" applyFont="1" applyFill="1" applyBorder="1"/>
    <xf numFmtId="164" fontId="26" fillId="0" borderId="0" xfId="1" applyNumberFormat="1" applyFont="1" applyFill="1" applyBorder="1" applyAlignment="1">
      <alignment horizontal="center"/>
    </xf>
    <xf numFmtId="0" fontId="31" fillId="0" borderId="0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37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Border="1"/>
    <xf numFmtId="0" fontId="20" fillId="0" borderId="1" xfId="0" applyFont="1" applyBorder="1" applyAlignment="1">
      <alignment vertical="center"/>
    </xf>
    <xf numFmtId="0" fontId="0" fillId="3" borderId="0" xfId="0" applyFont="1" applyFill="1" applyBorder="1"/>
    <xf numFmtId="0" fontId="33" fillId="0" borderId="16" xfId="0" applyFont="1" applyFill="1" applyBorder="1" applyAlignment="1"/>
    <xf numFmtId="0" fontId="26" fillId="0" borderId="1" xfId="0" applyFont="1" applyFill="1" applyBorder="1" applyAlignment="1">
      <alignment vertical="center"/>
    </xf>
    <xf numFmtId="0" fontId="26" fillId="0" borderId="1" xfId="0" applyFont="1" applyFill="1" applyBorder="1" applyAlignment="1"/>
    <xf numFmtId="0" fontId="32" fillId="0" borderId="0" xfId="0" applyFont="1" applyFill="1" applyBorder="1" applyAlignment="1"/>
    <xf numFmtId="0" fontId="33" fillId="0" borderId="0" xfId="0" applyFont="1" applyFill="1" applyBorder="1" applyAlignment="1"/>
    <xf numFmtId="0" fontId="32" fillId="0" borderId="52" xfId="0" applyFont="1" applyFill="1" applyBorder="1" applyAlignment="1">
      <alignment horizontal="center"/>
    </xf>
    <xf numFmtId="0" fontId="32" fillId="0" borderId="41" xfId="0" applyFont="1" applyFill="1" applyBorder="1" applyAlignment="1"/>
    <xf numFmtId="164" fontId="33" fillId="0" borderId="43" xfId="0" applyNumberFormat="1" applyFont="1" applyFill="1" applyBorder="1" applyAlignment="1"/>
    <xf numFmtId="0" fontId="32" fillId="0" borderId="51" xfId="0" applyFont="1" applyFill="1" applyBorder="1" applyAlignment="1">
      <alignment horizontal="center"/>
    </xf>
    <xf numFmtId="0" fontId="32" fillId="0" borderId="53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17" fontId="1" fillId="0" borderId="8" xfId="0" applyNumberFormat="1" applyFont="1" applyFill="1" applyBorder="1" applyAlignment="1">
      <alignment horizontal="center" vertical="center" wrapText="1"/>
    </xf>
    <xf numFmtId="164" fontId="20" fillId="0" borderId="8" xfId="1" applyNumberFormat="1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/>
    <xf numFmtId="0" fontId="27" fillId="0" borderId="1" xfId="0" applyFont="1" applyFill="1" applyBorder="1" applyAlignment="1">
      <alignment horizontal="center" wrapText="1"/>
    </xf>
    <xf numFmtId="164" fontId="26" fillId="0" borderId="1" xfId="1" applyNumberFormat="1" applyFont="1" applyFill="1" applyBorder="1" applyAlignment="1">
      <alignment vertical="center" wrapText="1"/>
    </xf>
    <xf numFmtId="164" fontId="26" fillId="0" borderId="1" xfId="1" applyNumberFormat="1" applyFont="1" applyFill="1" applyBorder="1" applyAlignment="1">
      <alignment horizontal="center" vertical="center" wrapText="1"/>
    </xf>
    <xf numFmtId="164" fontId="26" fillId="0" borderId="15" xfId="1" applyNumberFormat="1" applyFont="1" applyFill="1" applyBorder="1" applyAlignment="1">
      <alignment horizontal="center" vertical="center"/>
    </xf>
    <xf numFmtId="164" fontId="34" fillId="0" borderId="39" xfId="0" applyNumberFormat="1" applyFont="1" applyFill="1" applyBorder="1" applyAlignment="1"/>
    <xf numFmtId="0" fontId="1" fillId="0" borderId="0" xfId="0" applyFont="1" applyFill="1" applyBorder="1"/>
    <xf numFmtId="43" fontId="35" fillId="0" borderId="1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/>
    <xf numFmtId="0" fontId="36" fillId="0" borderId="0" xfId="0" applyFont="1" applyBorder="1" applyAlignment="1">
      <alignment horizontal="center" vertical="center"/>
    </xf>
    <xf numFmtId="2" fontId="36" fillId="0" borderId="0" xfId="0" applyNumberFormat="1" applyFont="1" applyBorder="1" applyAlignment="1">
      <alignment horizontal="center" vertical="center"/>
    </xf>
    <xf numFmtId="0" fontId="35" fillId="0" borderId="1" xfId="1" applyNumberFormat="1" applyFont="1" applyFill="1" applyBorder="1" applyAlignment="1">
      <alignment horizontal="center" vertical="center" wrapText="1"/>
    </xf>
    <xf numFmtId="0" fontId="36" fillId="0" borderId="1" xfId="1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0" fontId="35" fillId="0" borderId="1" xfId="1" applyNumberFormat="1" applyFont="1" applyBorder="1" applyAlignment="1">
      <alignment horizontal="center" vertical="center" wrapText="1"/>
    </xf>
    <xf numFmtId="0" fontId="36" fillId="0" borderId="0" xfId="1" applyNumberFormat="1" applyFont="1" applyBorder="1" applyAlignment="1">
      <alignment horizontal="center" vertical="center"/>
    </xf>
    <xf numFmtId="0" fontId="35" fillId="0" borderId="1" xfId="1" applyNumberFormat="1" applyFont="1" applyBorder="1" applyAlignment="1">
      <alignment horizontal="center" vertical="center"/>
    </xf>
    <xf numFmtId="14" fontId="36" fillId="0" borderId="1" xfId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Border="1"/>
    <xf numFmtId="0" fontId="37" fillId="0" borderId="0" xfId="0" applyFont="1" applyFill="1" applyBorder="1"/>
    <xf numFmtId="0" fontId="6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38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 vertical="center" wrapText="1"/>
    </xf>
    <xf numFmtId="164" fontId="38" fillId="0" borderId="1" xfId="1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38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wrapText="1"/>
    </xf>
    <xf numFmtId="164" fontId="38" fillId="0" borderId="0" xfId="1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/>
    <xf numFmtId="0" fontId="37" fillId="0" borderId="45" xfId="0" applyFont="1" applyFill="1" applyBorder="1"/>
    <xf numFmtId="0" fontId="39" fillId="0" borderId="0" xfId="0" applyFont="1" applyAlignment="1">
      <alignment horizontal="center" vertical="center"/>
    </xf>
    <xf numFmtId="0" fontId="37" fillId="0" borderId="0" xfId="0" applyFont="1"/>
    <xf numFmtId="0" fontId="37" fillId="0" borderId="45" xfId="0" applyFont="1" applyFill="1" applyBorder="1" applyAlignment="1"/>
    <xf numFmtId="0" fontId="37" fillId="0" borderId="0" xfId="0" applyFont="1" applyFill="1" applyBorder="1" applyAlignment="1"/>
    <xf numFmtId="164" fontId="38" fillId="0" borderId="1" xfId="1" applyNumberFormat="1" applyFont="1" applyFill="1" applyBorder="1" applyAlignment="1">
      <alignment horizontal="center"/>
    </xf>
    <xf numFmtId="0" fontId="40" fillId="0" borderId="0" xfId="0" applyFont="1" applyFill="1" applyBorder="1"/>
    <xf numFmtId="0" fontId="40" fillId="0" borderId="0" xfId="0" applyFont="1" applyFill="1" applyBorder="1" applyAlignment="1"/>
    <xf numFmtId="0" fontId="39" fillId="0" borderId="0" xfId="0" applyFont="1" applyBorder="1" applyAlignment="1">
      <alignment horizontal="center" vertical="center"/>
    </xf>
    <xf numFmtId="0" fontId="37" fillId="0" borderId="0" xfId="0" applyFont="1" applyBorder="1"/>
    <xf numFmtId="0" fontId="38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35" fillId="0" borderId="0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Border="1"/>
    <xf numFmtId="0" fontId="20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35" fillId="0" borderId="1" xfId="0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6" fillId="0" borderId="8" xfId="1" applyNumberFormat="1" applyFont="1" applyBorder="1" applyAlignment="1">
      <alignment horizontal="center" vertical="center"/>
    </xf>
    <xf numFmtId="0" fontId="36" fillId="0" borderId="16" xfId="1" applyNumberFormat="1" applyFont="1" applyBorder="1" applyAlignment="1">
      <alignment horizontal="center" vertical="center"/>
    </xf>
    <xf numFmtId="0" fontId="36" fillId="0" borderId="1" xfId="0" applyNumberFormat="1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35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7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1" applyNumberFormat="1" applyFont="1" applyFill="1" applyBorder="1" applyAlignment="1">
      <alignment horizontal="center" vertical="center" wrapText="1"/>
    </xf>
    <xf numFmtId="14" fontId="36" fillId="0" borderId="8" xfId="1" applyNumberFormat="1" applyFont="1" applyBorder="1" applyAlignment="1">
      <alignment horizontal="center" vertical="center"/>
    </xf>
    <xf numFmtId="0" fontId="36" fillId="0" borderId="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/>
    </xf>
    <xf numFmtId="164" fontId="36" fillId="0" borderId="1" xfId="1" applyNumberFormat="1" applyFont="1" applyBorder="1" applyAlignment="1">
      <alignment horizontal="center" vertical="center"/>
    </xf>
    <xf numFmtId="164" fontId="36" fillId="0" borderId="0" xfId="1" applyNumberFormat="1" applyFont="1" applyBorder="1" applyAlignment="1">
      <alignment horizontal="center" vertical="center"/>
    </xf>
    <xf numFmtId="164" fontId="36" fillId="0" borderId="8" xfId="1" applyNumberFormat="1" applyFont="1" applyBorder="1" applyAlignment="1">
      <alignment horizontal="center" vertical="center"/>
    </xf>
    <xf numFmtId="164" fontId="1" fillId="0" borderId="0" xfId="1" applyNumberFormat="1" applyFont="1" applyFill="1" applyBorder="1"/>
    <xf numFmtId="164" fontId="6" fillId="0" borderId="1" xfId="1" applyNumberFormat="1" applyFont="1" applyFill="1" applyBorder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 wrapText="1"/>
    </xf>
    <xf numFmtId="164" fontId="1" fillId="0" borderId="1" xfId="1" applyNumberFormat="1" applyFont="1" applyFill="1" applyBorder="1"/>
    <xf numFmtId="164" fontId="35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/>
    <xf numFmtId="0" fontId="6" fillId="0" borderId="1" xfId="1" applyNumberFormat="1" applyFont="1" applyFill="1" applyBorder="1" applyAlignment="1">
      <alignment horizontal="center" vertical="center"/>
    </xf>
    <xf numFmtId="164" fontId="6" fillId="0" borderId="8" xfId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23" fillId="0" borderId="1" xfId="0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37" fillId="0" borderId="1" xfId="0" applyNumberFormat="1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9" fillId="0" borderId="0" xfId="0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38" fillId="0" borderId="0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9" fillId="0" borderId="0" xfId="0" applyFont="1" applyBorder="1" applyAlignment="1">
      <alignment horizontal="center" vertical="center"/>
    </xf>
    <xf numFmtId="0" fontId="0" fillId="0" borderId="0" xfId="0" applyFont="1" applyFill="1" applyBorder="1"/>
    <xf numFmtId="0" fontId="3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vertical="center"/>
    </xf>
    <xf numFmtId="164" fontId="0" fillId="0" borderId="0" xfId="1" applyNumberFormat="1" applyFont="1" applyFill="1" applyBorder="1"/>
    <xf numFmtId="164" fontId="0" fillId="0" borderId="1" xfId="1" applyNumberFormat="1" applyFont="1" applyFill="1" applyBorder="1"/>
    <xf numFmtId="164" fontId="38" fillId="0" borderId="1" xfId="1" applyNumberFormat="1" applyFont="1" applyFill="1" applyBorder="1"/>
    <xf numFmtId="0" fontId="36" fillId="0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" borderId="0" xfId="0" applyFont="1" applyFill="1" applyBorder="1" applyAlignment="1">
      <alignment horizontal="center" vertical="center"/>
    </xf>
    <xf numFmtId="164" fontId="0" fillId="3" borderId="0" xfId="1" applyNumberFormat="1" applyFont="1" applyFill="1" applyBorder="1"/>
    <xf numFmtId="0" fontId="1" fillId="0" borderId="8" xfId="0" applyFont="1" applyFill="1" applyBorder="1" applyAlignment="1"/>
    <xf numFmtId="0" fontId="1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37" xfId="0" applyFont="1" applyFill="1" applyBorder="1"/>
    <xf numFmtId="0" fontId="5" fillId="0" borderId="4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1" applyNumberFormat="1" applyFont="1" applyFill="1" applyBorder="1" applyAlignment="1">
      <alignment horizontal="center" vertical="center" wrapText="1"/>
    </xf>
    <xf numFmtId="0" fontId="6" fillId="0" borderId="50" xfId="1" applyNumberFormat="1" applyFont="1" applyFill="1" applyBorder="1" applyAlignment="1">
      <alignment horizontal="center" vertical="center" wrapText="1"/>
    </xf>
    <xf numFmtId="0" fontId="6" fillId="0" borderId="16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/>
    </xf>
    <xf numFmtId="0" fontId="38" fillId="0" borderId="50" xfId="0" applyFont="1" applyFill="1" applyBorder="1" applyAlignment="1">
      <alignment horizontal="center" vertical="center"/>
    </xf>
    <xf numFmtId="0" fontId="38" fillId="0" borderId="16" xfId="0" applyFont="1" applyFill="1" applyBorder="1" applyAlignment="1">
      <alignment horizontal="center" vertical="center"/>
    </xf>
    <xf numFmtId="164" fontId="13" fillId="0" borderId="8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" fontId="38" fillId="0" borderId="1" xfId="0" applyNumberFormat="1" applyFont="1" applyFill="1" applyBorder="1" applyAlignment="1">
      <alignment horizontal="center" vertical="center"/>
    </xf>
    <xf numFmtId="0" fontId="35" fillId="0" borderId="1" xfId="1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/>
    </xf>
    <xf numFmtId="0" fontId="39" fillId="0" borderId="0" xfId="0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7" fillId="0" borderId="45" xfId="0" applyFont="1" applyFill="1" applyBorder="1" applyAlignment="1">
      <alignment horizontal="center"/>
    </xf>
    <xf numFmtId="164" fontId="38" fillId="0" borderId="0" xfId="0" applyNumberFormat="1" applyFont="1" applyFill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8" fillId="0" borderId="46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/>
    </xf>
    <xf numFmtId="0" fontId="38" fillId="0" borderId="50" xfId="0" applyFont="1" applyFill="1" applyBorder="1" applyAlignment="1">
      <alignment horizontal="center"/>
    </xf>
    <xf numFmtId="0" fontId="38" fillId="0" borderId="16" xfId="0" applyFont="1" applyFill="1" applyBorder="1" applyAlignment="1">
      <alignment horizontal="center"/>
    </xf>
    <xf numFmtId="0" fontId="0" fillId="0" borderId="47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26" fillId="0" borderId="8" xfId="0" applyFont="1" applyFill="1" applyBorder="1" applyAlignment="1">
      <alignment horizontal="center"/>
    </xf>
    <xf numFmtId="0" fontId="26" fillId="0" borderId="50" xfId="0" applyFont="1" applyFill="1" applyBorder="1" applyAlignment="1">
      <alignment horizontal="center"/>
    </xf>
    <xf numFmtId="0" fontId="26" fillId="0" borderId="16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0" fontId="26" fillId="0" borderId="8" xfId="0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wrapText="1"/>
    </xf>
    <xf numFmtId="0" fontId="16" fillId="0" borderId="19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18" fillId="0" borderId="45" xfId="0" applyFont="1" applyFill="1" applyBorder="1" applyAlignment="1">
      <alignment horizontal="center"/>
    </xf>
    <xf numFmtId="0" fontId="16" fillId="0" borderId="46" xfId="0" applyFont="1" applyFill="1" applyBorder="1" applyAlignment="1">
      <alignment horizontal="center"/>
    </xf>
    <xf numFmtId="0" fontId="19" fillId="0" borderId="46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164" fontId="26" fillId="0" borderId="0" xfId="0" applyNumberFormat="1" applyFont="1" applyFill="1" applyBorder="1" applyAlignment="1">
      <alignment horizontal="center" vertical="center"/>
    </xf>
    <xf numFmtId="0" fontId="25" fillId="0" borderId="45" xfId="0" applyFont="1" applyFill="1" applyBorder="1" applyAlignment="1">
      <alignment horizontal="center"/>
    </xf>
    <xf numFmtId="0" fontId="28" fillId="0" borderId="46" xfId="0" applyFont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wrapText="1"/>
    </xf>
    <xf numFmtId="43" fontId="10" fillId="0" borderId="2" xfId="1" applyFont="1" applyBorder="1" applyAlignment="1">
      <alignment horizontal="center" vertical="center"/>
    </xf>
    <xf numFmtId="43" fontId="10" fillId="0" borderId="15" xfId="1" applyFont="1" applyBorder="1" applyAlignment="1">
      <alignment horizontal="center" vertical="center"/>
    </xf>
    <xf numFmtId="43" fontId="10" fillId="0" borderId="3" xfId="1" applyFont="1" applyBorder="1" applyAlignment="1">
      <alignment horizontal="center" vertical="center"/>
    </xf>
    <xf numFmtId="43" fontId="10" fillId="0" borderId="17" xfId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43" fontId="10" fillId="0" borderId="33" xfId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0" fillId="0" borderId="0" xfId="0" applyFont="1" applyFill="1" applyBorder="1"/>
    <xf numFmtId="43" fontId="24" fillId="0" borderId="2" xfId="1" applyFont="1" applyBorder="1" applyAlignment="1">
      <alignment horizontal="center" vertical="center"/>
    </xf>
    <xf numFmtId="43" fontId="24" fillId="0" borderId="3" xfId="1" applyFont="1" applyBorder="1" applyAlignment="1">
      <alignment horizontal="center" vertical="center"/>
    </xf>
    <xf numFmtId="0" fontId="24" fillId="0" borderId="9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24" fillId="0" borderId="22" xfId="0" applyFont="1" applyFill="1" applyBorder="1" applyAlignment="1">
      <alignment horizontal="center"/>
    </xf>
    <xf numFmtId="0" fontId="24" fillId="0" borderId="2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3" fontId="24" fillId="0" borderId="1" xfId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wrapText="1"/>
    </xf>
    <xf numFmtId="43" fontId="24" fillId="0" borderId="15" xfId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3" fontId="24" fillId="0" borderId="17" xfId="1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43" fontId="24" fillId="0" borderId="33" xfId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5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205"/>
  <sheetViews>
    <sheetView zoomScale="70" zoomScaleNormal="70" workbookViewId="0">
      <selection activeCell="F126" sqref="F126"/>
    </sheetView>
  </sheetViews>
  <sheetFormatPr defaultRowHeight="15"/>
  <cols>
    <col min="1" max="1" width="13.28515625" style="11" customWidth="1"/>
    <col min="2" max="2" width="32.5703125" bestFit="1" customWidth="1"/>
    <col min="3" max="3" width="18.42578125" style="1" customWidth="1"/>
    <col min="4" max="4" width="50.28515625" style="1" bestFit="1" customWidth="1"/>
    <col min="5" max="5" width="16.85546875" style="1" bestFit="1" customWidth="1"/>
    <col min="6" max="6" width="28" style="85" bestFit="1" customWidth="1"/>
    <col min="7" max="7" width="32.7109375" style="85" bestFit="1" customWidth="1"/>
    <col min="8" max="9" width="32.7109375" style="147" customWidth="1"/>
    <col min="10" max="10" width="26" bestFit="1" customWidth="1"/>
    <col min="11" max="11" width="50.85546875" bestFit="1" customWidth="1"/>
    <col min="12" max="12" width="20.28515625" customWidth="1"/>
  </cols>
  <sheetData>
    <row r="1" spans="1:12" ht="18.75">
      <c r="A1" s="86"/>
      <c r="B1" s="409"/>
      <c r="C1" s="409"/>
      <c r="D1" s="409"/>
      <c r="E1" s="409"/>
      <c r="F1" s="87"/>
      <c r="G1" s="87"/>
      <c r="H1" s="146"/>
      <c r="I1" s="146"/>
      <c r="J1" s="87"/>
      <c r="K1" s="88" t="s">
        <v>159</v>
      </c>
    </row>
    <row r="2" spans="1:12" ht="24" customHeight="1">
      <c r="A2" s="410" t="s">
        <v>58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</row>
    <row r="3" spans="1:12" ht="97.5" customHeight="1">
      <c r="A3" s="126" t="s">
        <v>161</v>
      </c>
      <c r="B3" s="126" t="s">
        <v>0</v>
      </c>
      <c r="C3" s="126" t="s">
        <v>160</v>
      </c>
      <c r="D3" s="127" t="s">
        <v>46</v>
      </c>
      <c r="E3" s="126" t="s">
        <v>162</v>
      </c>
      <c r="F3" s="128" t="s">
        <v>164</v>
      </c>
      <c r="G3" s="128" t="s">
        <v>163</v>
      </c>
      <c r="H3" s="128" t="s">
        <v>216</v>
      </c>
      <c r="I3" s="128" t="s">
        <v>220</v>
      </c>
      <c r="J3" s="129" t="s">
        <v>65</v>
      </c>
      <c r="K3" s="130" t="s">
        <v>211</v>
      </c>
      <c r="L3" s="131" t="s">
        <v>74</v>
      </c>
    </row>
    <row r="4" spans="1:12" s="1" customFormat="1" ht="46.5">
      <c r="A4" s="401">
        <v>1</v>
      </c>
      <c r="B4" s="401" t="s">
        <v>7</v>
      </c>
      <c r="C4" s="120" t="s">
        <v>115</v>
      </c>
      <c r="D4" s="143" t="s">
        <v>14</v>
      </c>
      <c r="E4" s="121">
        <v>96</v>
      </c>
      <c r="F4" s="132">
        <v>14400</v>
      </c>
      <c r="G4" s="132">
        <v>14400</v>
      </c>
      <c r="H4" s="132"/>
      <c r="I4" s="132"/>
      <c r="J4" s="132">
        <f t="shared" ref="J4:J21" si="0">F4+G4</f>
        <v>28800</v>
      </c>
      <c r="K4" s="133" t="s">
        <v>165</v>
      </c>
      <c r="L4" s="154" t="s">
        <v>219</v>
      </c>
    </row>
    <row r="5" spans="1:12" s="83" customFormat="1" ht="39.950000000000003" customHeight="1">
      <c r="A5" s="401"/>
      <c r="B5" s="401"/>
      <c r="C5" s="120" t="s">
        <v>116</v>
      </c>
      <c r="D5" s="143" t="s">
        <v>15</v>
      </c>
      <c r="E5" s="121">
        <v>96</v>
      </c>
      <c r="F5" s="132">
        <v>14400</v>
      </c>
      <c r="G5" s="132">
        <v>14400</v>
      </c>
      <c r="H5" s="132"/>
      <c r="I5" s="132"/>
      <c r="J5" s="132">
        <f t="shared" si="0"/>
        <v>28800</v>
      </c>
      <c r="K5" s="133" t="s">
        <v>165</v>
      </c>
      <c r="L5" s="154" t="s">
        <v>219</v>
      </c>
    </row>
    <row r="6" spans="1:12" s="1" customFormat="1" ht="39.950000000000003" customHeight="1">
      <c r="A6" s="120">
        <v>2</v>
      </c>
      <c r="B6" s="120" t="s">
        <v>8</v>
      </c>
      <c r="C6" s="120" t="s">
        <v>112</v>
      </c>
      <c r="D6" s="120" t="s">
        <v>16</v>
      </c>
      <c r="E6" s="121">
        <v>96</v>
      </c>
      <c r="F6" s="132"/>
      <c r="G6" s="132">
        <v>14400</v>
      </c>
      <c r="H6" s="132"/>
      <c r="I6" s="132"/>
      <c r="J6" s="132">
        <f t="shared" si="0"/>
        <v>14400</v>
      </c>
      <c r="K6" s="133" t="s">
        <v>166</v>
      </c>
      <c r="L6" s="141" t="s">
        <v>215</v>
      </c>
    </row>
    <row r="7" spans="1:12" s="1" customFormat="1" ht="39.950000000000003" customHeight="1">
      <c r="A7" s="401">
        <v>3</v>
      </c>
      <c r="B7" s="401" t="s">
        <v>5</v>
      </c>
      <c r="C7" s="120" t="s">
        <v>102</v>
      </c>
      <c r="D7" s="120" t="s">
        <v>23</v>
      </c>
      <c r="E7" s="121">
        <v>96</v>
      </c>
      <c r="F7" s="132"/>
      <c r="G7" s="132">
        <v>17280</v>
      </c>
      <c r="H7" s="132"/>
      <c r="I7" s="132"/>
      <c r="J7" s="132">
        <f t="shared" si="0"/>
        <v>17280</v>
      </c>
      <c r="K7" s="133" t="s">
        <v>166</v>
      </c>
      <c r="L7" s="141" t="s">
        <v>213</v>
      </c>
    </row>
    <row r="8" spans="1:12" s="1" customFormat="1" ht="39.950000000000003" customHeight="1">
      <c r="A8" s="401"/>
      <c r="B8" s="401"/>
      <c r="C8" s="120" t="s">
        <v>117</v>
      </c>
      <c r="D8" s="120" t="s">
        <v>158</v>
      </c>
      <c r="E8" s="121">
        <v>98</v>
      </c>
      <c r="F8" s="132"/>
      <c r="G8" s="132">
        <v>17640</v>
      </c>
      <c r="H8" s="132"/>
      <c r="I8" s="132"/>
      <c r="J8" s="132">
        <f t="shared" si="0"/>
        <v>17640</v>
      </c>
      <c r="K8" s="133" t="s">
        <v>166</v>
      </c>
      <c r="L8" s="135"/>
    </row>
    <row r="9" spans="1:12" s="1" customFormat="1" ht="39.950000000000003" customHeight="1">
      <c r="A9" s="401"/>
      <c r="B9" s="401"/>
      <c r="C9" s="120" t="s">
        <v>118</v>
      </c>
      <c r="D9" s="120" t="s">
        <v>158</v>
      </c>
      <c r="E9" s="121">
        <v>99</v>
      </c>
      <c r="F9" s="132"/>
      <c r="G9" s="132">
        <v>17820</v>
      </c>
      <c r="H9" s="132"/>
      <c r="I9" s="132"/>
      <c r="J9" s="132">
        <f t="shared" si="0"/>
        <v>17820</v>
      </c>
      <c r="K9" s="133" t="s">
        <v>166</v>
      </c>
      <c r="L9" s="135"/>
    </row>
    <row r="10" spans="1:12" s="1" customFormat="1" ht="39.950000000000003" customHeight="1">
      <c r="A10" s="401"/>
      <c r="B10" s="401"/>
      <c r="C10" s="120" t="s">
        <v>119</v>
      </c>
      <c r="D10" s="120" t="s">
        <v>158</v>
      </c>
      <c r="E10" s="121">
        <v>147</v>
      </c>
      <c r="F10" s="132"/>
      <c r="G10" s="132">
        <v>26460</v>
      </c>
      <c r="H10" s="132"/>
      <c r="I10" s="132"/>
      <c r="J10" s="132">
        <f t="shared" si="0"/>
        <v>26460</v>
      </c>
      <c r="K10" s="133" t="s">
        <v>166</v>
      </c>
      <c r="L10" s="135"/>
    </row>
    <row r="11" spans="1:12" s="1" customFormat="1" ht="39.950000000000003" customHeight="1">
      <c r="A11" s="401"/>
      <c r="B11" s="401"/>
      <c r="C11" s="120" t="s">
        <v>120</v>
      </c>
      <c r="D11" s="120" t="s">
        <v>158</v>
      </c>
      <c r="E11" s="121">
        <v>147</v>
      </c>
      <c r="F11" s="132"/>
      <c r="G11" s="132">
        <v>26460</v>
      </c>
      <c r="H11" s="132"/>
      <c r="I11" s="132"/>
      <c r="J11" s="132">
        <f t="shared" si="0"/>
        <v>26460</v>
      </c>
      <c r="K11" s="133" t="s">
        <v>166</v>
      </c>
      <c r="L11" s="135"/>
    </row>
    <row r="12" spans="1:12" s="1" customFormat="1" ht="39.950000000000003" customHeight="1">
      <c r="A12" s="401"/>
      <c r="B12" s="401"/>
      <c r="C12" s="120" t="s">
        <v>121</v>
      </c>
      <c r="D12" s="120" t="s">
        <v>13</v>
      </c>
      <c r="E12" s="121">
        <v>99</v>
      </c>
      <c r="F12" s="132"/>
      <c r="G12" s="132">
        <v>17820</v>
      </c>
      <c r="H12" s="132"/>
      <c r="I12" s="132"/>
      <c r="J12" s="132">
        <f t="shared" si="0"/>
        <v>17820</v>
      </c>
      <c r="K12" s="133" t="s">
        <v>166</v>
      </c>
      <c r="L12" s="135"/>
    </row>
    <row r="13" spans="1:12" s="1" customFormat="1" ht="39.950000000000003" customHeight="1">
      <c r="A13" s="401"/>
      <c r="B13" s="401"/>
      <c r="C13" s="120" t="s">
        <v>122</v>
      </c>
      <c r="D13" s="120" t="s">
        <v>158</v>
      </c>
      <c r="E13" s="121">
        <v>192</v>
      </c>
      <c r="F13" s="132"/>
      <c r="G13" s="132">
        <v>34560</v>
      </c>
      <c r="H13" s="132"/>
      <c r="I13" s="132"/>
      <c r="J13" s="132">
        <f t="shared" si="0"/>
        <v>34560</v>
      </c>
      <c r="K13" s="133" t="s">
        <v>166</v>
      </c>
      <c r="L13" s="135"/>
    </row>
    <row r="14" spans="1:12" s="1" customFormat="1" ht="39.950000000000003" customHeight="1">
      <c r="A14" s="401">
        <v>4</v>
      </c>
      <c r="B14" s="401" t="s">
        <v>4</v>
      </c>
      <c r="C14" s="120" t="s">
        <v>145</v>
      </c>
      <c r="D14" s="120" t="s">
        <v>13</v>
      </c>
      <c r="E14" s="121">
        <v>144</v>
      </c>
      <c r="F14" s="132">
        <v>14400</v>
      </c>
      <c r="G14" s="132">
        <v>14400</v>
      </c>
      <c r="H14" s="132"/>
      <c r="I14" s="132"/>
      <c r="J14" s="132">
        <f t="shared" si="0"/>
        <v>28800</v>
      </c>
      <c r="K14" s="133" t="s">
        <v>165</v>
      </c>
      <c r="L14" s="134"/>
    </row>
    <row r="15" spans="1:12" s="1" customFormat="1" ht="39.950000000000003" customHeight="1">
      <c r="A15" s="401"/>
      <c r="B15" s="401"/>
      <c r="C15" s="120" t="s">
        <v>146</v>
      </c>
      <c r="D15" s="143" t="s">
        <v>17</v>
      </c>
      <c r="E15" s="121">
        <v>96</v>
      </c>
      <c r="F15" s="132">
        <v>9600</v>
      </c>
      <c r="G15" s="132">
        <v>9600</v>
      </c>
      <c r="H15" s="132"/>
      <c r="I15" s="132"/>
      <c r="J15" s="132">
        <f t="shared" si="0"/>
        <v>19200</v>
      </c>
      <c r="K15" s="133" t="s">
        <v>165</v>
      </c>
      <c r="L15" s="134"/>
    </row>
    <row r="16" spans="1:12" s="1" customFormat="1" ht="39.950000000000003" customHeight="1">
      <c r="A16" s="401"/>
      <c r="B16" s="401"/>
      <c r="C16" s="120" t="s">
        <v>147</v>
      </c>
      <c r="D16" s="143" t="s">
        <v>18</v>
      </c>
      <c r="E16" s="121">
        <v>96</v>
      </c>
      <c r="F16" s="132">
        <v>9600</v>
      </c>
      <c r="G16" s="132">
        <v>9600</v>
      </c>
      <c r="H16" s="132"/>
      <c r="I16" s="132"/>
      <c r="J16" s="132">
        <f t="shared" si="0"/>
        <v>19200</v>
      </c>
      <c r="K16" s="133" t="s">
        <v>165</v>
      </c>
      <c r="L16" s="134"/>
    </row>
    <row r="17" spans="1:12" s="1" customFormat="1" ht="39.950000000000003" customHeight="1">
      <c r="A17" s="401"/>
      <c r="B17" s="401"/>
      <c r="C17" s="120" t="s">
        <v>148</v>
      </c>
      <c r="D17" s="143" t="s">
        <v>19</v>
      </c>
      <c r="E17" s="121">
        <v>96</v>
      </c>
      <c r="F17" s="132">
        <v>9600</v>
      </c>
      <c r="G17" s="132">
        <v>9600</v>
      </c>
      <c r="H17" s="132"/>
      <c r="I17" s="132"/>
      <c r="J17" s="132">
        <f t="shared" si="0"/>
        <v>19200</v>
      </c>
      <c r="K17" s="133" t="s">
        <v>165</v>
      </c>
      <c r="L17" s="134"/>
    </row>
    <row r="18" spans="1:12" s="1" customFormat="1" ht="39.950000000000003" customHeight="1">
      <c r="A18" s="401"/>
      <c r="B18" s="401"/>
      <c r="C18" s="120" t="s">
        <v>149</v>
      </c>
      <c r="D18" s="143" t="s">
        <v>20</v>
      </c>
      <c r="E18" s="121">
        <v>118</v>
      </c>
      <c r="F18" s="132">
        <v>11800</v>
      </c>
      <c r="G18" s="132">
        <v>11800</v>
      </c>
      <c r="H18" s="132"/>
      <c r="I18" s="132"/>
      <c r="J18" s="132">
        <f t="shared" si="0"/>
        <v>23600</v>
      </c>
      <c r="K18" s="133" t="s">
        <v>165</v>
      </c>
      <c r="L18" s="134"/>
    </row>
    <row r="19" spans="1:12" s="1" customFormat="1" ht="39.950000000000003" customHeight="1">
      <c r="A19" s="401"/>
      <c r="B19" s="401"/>
      <c r="C19" s="120" t="s">
        <v>150</v>
      </c>
      <c r="D19" s="143" t="s">
        <v>20</v>
      </c>
      <c r="E19" s="121">
        <v>118</v>
      </c>
      <c r="F19" s="132">
        <v>11800</v>
      </c>
      <c r="G19" s="132">
        <v>11800</v>
      </c>
      <c r="H19" s="132"/>
      <c r="I19" s="132"/>
      <c r="J19" s="132">
        <f t="shared" si="0"/>
        <v>23600</v>
      </c>
      <c r="K19" s="133" t="s">
        <v>165</v>
      </c>
      <c r="L19" s="134"/>
    </row>
    <row r="20" spans="1:12" s="1" customFormat="1" ht="39.950000000000003" customHeight="1">
      <c r="A20" s="401"/>
      <c r="B20" s="401"/>
      <c r="C20" s="120" t="s">
        <v>151</v>
      </c>
      <c r="D20" s="120" t="s">
        <v>21</v>
      </c>
      <c r="E20" s="121">
        <v>96</v>
      </c>
      <c r="F20" s="132">
        <v>9600</v>
      </c>
      <c r="G20" s="132">
        <v>9600</v>
      </c>
      <c r="H20" s="132"/>
      <c r="I20" s="132"/>
      <c r="J20" s="132">
        <f t="shared" si="0"/>
        <v>19200</v>
      </c>
      <c r="K20" s="133" t="s">
        <v>165</v>
      </c>
      <c r="L20" s="141" t="s">
        <v>212</v>
      </c>
    </row>
    <row r="21" spans="1:12" s="1" customFormat="1" ht="39.950000000000003" customHeight="1">
      <c r="A21" s="401"/>
      <c r="B21" s="401"/>
      <c r="C21" s="120" t="s">
        <v>152</v>
      </c>
      <c r="D21" s="120" t="s">
        <v>12</v>
      </c>
      <c r="E21" s="121">
        <v>96</v>
      </c>
      <c r="F21" s="132">
        <v>9600</v>
      </c>
      <c r="G21" s="132">
        <v>9600</v>
      </c>
      <c r="H21" s="132"/>
      <c r="I21" s="132"/>
      <c r="J21" s="132">
        <f t="shared" si="0"/>
        <v>19200</v>
      </c>
      <c r="K21" s="133" t="s">
        <v>165</v>
      </c>
      <c r="L21" s="134"/>
    </row>
    <row r="22" spans="1:12" s="1" customFormat="1" ht="39.950000000000003" customHeight="1">
      <c r="A22" s="401"/>
      <c r="B22" s="401"/>
      <c r="C22" s="120" t="s">
        <v>153</v>
      </c>
      <c r="D22" s="143" t="s">
        <v>22</v>
      </c>
      <c r="E22" s="121">
        <v>96</v>
      </c>
      <c r="F22" s="132">
        <v>9600</v>
      </c>
      <c r="G22" s="132">
        <v>9600</v>
      </c>
      <c r="H22" s="132"/>
      <c r="I22" s="132"/>
      <c r="J22" s="132">
        <f t="shared" ref="J22:J40" si="1">F22+G22</f>
        <v>19200</v>
      </c>
      <c r="K22" s="133" t="s">
        <v>165</v>
      </c>
      <c r="L22" s="134"/>
    </row>
    <row r="23" spans="1:12" s="1" customFormat="1" ht="39.950000000000003" customHeight="1">
      <c r="A23" s="401"/>
      <c r="B23" s="401"/>
      <c r="C23" s="120" t="s">
        <v>154</v>
      </c>
      <c r="D23" s="120" t="s">
        <v>13</v>
      </c>
      <c r="E23" s="121">
        <v>144</v>
      </c>
      <c r="F23" s="132">
        <v>14400</v>
      </c>
      <c r="G23" s="132">
        <v>14400</v>
      </c>
      <c r="H23" s="132"/>
      <c r="I23" s="132"/>
      <c r="J23" s="132">
        <f t="shared" si="1"/>
        <v>28800</v>
      </c>
      <c r="K23" s="133" t="s">
        <v>165</v>
      </c>
      <c r="L23" s="134"/>
    </row>
    <row r="24" spans="1:12" s="1" customFormat="1" ht="39.950000000000003" customHeight="1">
      <c r="A24" s="401">
        <v>5</v>
      </c>
      <c r="B24" s="401" t="s">
        <v>34</v>
      </c>
      <c r="C24" s="120" t="s">
        <v>126</v>
      </c>
      <c r="D24" s="143" t="s">
        <v>35</v>
      </c>
      <c r="E24" s="121">
        <v>96</v>
      </c>
      <c r="F24" s="132">
        <v>28800</v>
      </c>
      <c r="G24" s="132">
        <v>28800</v>
      </c>
      <c r="H24" s="132">
        <v>28800</v>
      </c>
      <c r="I24" s="132"/>
      <c r="J24" s="132">
        <f>H24+G24+F24</f>
        <v>86400</v>
      </c>
      <c r="K24" s="133" t="s">
        <v>232</v>
      </c>
      <c r="L24" s="134"/>
    </row>
    <row r="25" spans="1:12" s="1" customFormat="1" ht="39.950000000000003" customHeight="1">
      <c r="A25" s="401"/>
      <c r="B25" s="401"/>
      <c r="C25" s="120" t="s">
        <v>127</v>
      </c>
      <c r="D25" s="143" t="s">
        <v>36</v>
      </c>
      <c r="E25" s="121">
        <v>96</v>
      </c>
      <c r="F25" s="132">
        <v>28800</v>
      </c>
      <c r="G25" s="132">
        <v>28800</v>
      </c>
      <c r="H25" s="132">
        <v>28800</v>
      </c>
      <c r="I25" s="132"/>
      <c r="J25" s="132">
        <f t="shared" ref="J25:J27" si="2">H25+G25+F25</f>
        <v>86400</v>
      </c>
      <c r="K25" s="133" t="s">
        <v>232</v>
      </c>
      <c r="L25" s="134"/>
    </row>
    <row r="26" spans="1:12" s="1" customFormat="1" ht="39.950000000000003" customHeight="1">
      <c r="A26" s="401"/>
      <c r="B26" s="401"/>
      <c r="C26" s="120" t="s">
        <v>128</v>
      </c>
      <c r="D26" s="120" t="s">
        <v>12</v>
      </c>
      <c r="E26" s="121">
        <v>99</v>
      </c>
      <c r="F26" s="132">
        <v>29700</v>
      </c>
      <c r="G26" s="132">
        <v>29700</v>
      </c>
      <c r="H26" s="132">
        <v>29700</v>
      </c>
      <c r="I26" s="132"/>
      <c r="J26" s="132">
        <f t="shared" si="2"/>
        <v>89100</v>
      </c>
      <c r="K26" s="133" t="s">
        <v>232</v>
      </c>
      <c r="L26" s="134"/>
    </row>
    <row r="27" spans="1:12" s="1" customFormat="1" ht="39.950000000000003" customHeight="1">
      <c r="A27" s="401"/>
      <c r="B27" s="401"/>
      <c r="C27" s="120" t="s">
        <v>129</v>
      </c>
      <c r="D27" s="120" t="s">
        <v>12</v>
      </c>
      <c r="E27" s="121">
        <v>147</v>
      </c>
      <c r="F27" s="132">
        <v>44100</v>
      </c>
      <c r="G27" s="132">
        <v>44100</v>
      </c>
      <c r="H27" s="132">
        <v>44100</v>
      </c>
      <c r="I27" s="132"/>
      <c r="J27" s="132">
        <f t="shared" si="2"/>
        <v>132300</v>
      </c>
      <c r="K27" s="133" t="s">
        <v>232</v>
      </c>
      <c r="L27" s="134"/>
    </row>
    <row r="28" spans="1:12" ht="39.950000000000003" customHeight="1">
      <c r="A28" s="401">
        <v>7</v>
      </c>
      <c r="B28" s="401" t="s">
        <v>53</v>
      </c>
      <c r="C28" s="120" t="s">
        <v>132</v>
      </c>
      <c r="D28" s="120" t="s">
        <v>158</v>
      </c>
      <c r="E28" s="121">
        <v>144</v>
      </c>
      <c r="F28" s="132"/>
      <c r="G28" s="132">
        <v>28800</v>
      </c>
      <c r="H28" s="132">
        <v>28800</v>
      </c>
      <c r="I28" s="132"/>
      <c r="J28" s="132">
        <f>G28+H28</f>
        <v>57600</v>
      </c>
      <c r="K28" s="133" t="s">
        <v>231</v>
      </c>
      <c r="L28" s="134"/>
    </row>
    <row r="29" spans="1:12" s="1" customFormat="1" ht="39.950000000000003" customHeight="1">
      <c r="A29" s="401"/>
      <c r="B29" s="401"/>
      <c r="C29" s="120" t="s">
        <v>133</v>
      </c>
      <c r="D29" s="143" t="s">
        <v>26</v>
      </c>
      <c r="E29" s="121">
        <v>98</v>
      </c>
      <c r="F29" s="132"/>
      <c r="G29" s="132">
        <v>19600</v>
      </c>
      <c r="H29" s="132">
        <v>19600</v>
      </c>
      <c r="I29" s="132"/>
      <c r="J29" s="132">
        <f t="shared" si="1"/>
        <v>19600</v>
      </c>
      <c r="K29" s="133" t="s">
        <v>166</v>
      </c>
      <c r="L29" s="134"/>
    </row>
    <row r="30" spans="1:12" s="1" customFormat="1" ht="39.950000000000003" customHeight="1">
      <c r="A30" s="401"/>
      <c r="B30" s="401"/>
      <c r="C30" s="120" t="s">
        <v>134</v>
      </c>
      <c r="D30" s="143" t="s">
        <v>27</v>
      </c>
      <c r="E30" s="121">
        <v>98</v>
      </c>
      <c r="F30" s="132"/>
      <c r="G30" s="132">
        <v>19600</v>
      </c>
      <c r="H30" s="132">
        <v>19600</v>
      </c>
      <c r="I30" s="132"/>
      <c r="J30" s="132">
        <f t="shared" si="1"/>
        <v>19600</v>
      </c>
      <c r="K30" s="133" t="s">
        <v>166</v>
      </c>
      <c r="L30" s="134"/>
    </row>
    <row r="31" spans="1:12" s="1" customFormat="1" ht="39.950000000000003" customHeight="1">
      <c r="A31" s="401"/>
      <c r="B31" s="401"/>
      <c r="C31" s="120" t="s">
        <v>135</v>
      </c>
      <c r="D31" s="143" t="s">
        <v>28</v>
      </c>
      <c r="E31" s="121">
        <v>99</v>
      </c>
      <c r="F31" s="132"/>
      <c r="G31" s="132">
        <v>19800</v>
      </c>
      <c r="H31" s="132">
        <v>19800</v>
      </c>
      <c r="I31" s="132"/>
      <c r="J31" s="132">
        <f t="shared" si="1"/>
        <v>19800</v>
      </c>
      <c r="K31" s="133" t="s">
        <v>166</v>
      </c>
      <c r="L31" s="134"/>
    </row>
    <row r="32" spans="1:12" s="1" customFormat="1" ht="39.950000000000003" customHeight="1">
      <c r="A32" s="401"/>
      <c r="B32" s="401"/>
      <c r="C32" s="120" t="s">
        <v>136</v>
      </c>
      <c r="D32" s="143" t="s">
        <v>29</v>
      </c>
      <c r="E32" s="121">
        <v>96</v>
      </c>
      <c r="F32" s="132"/>
      <c r="G32" s="132">
        <v>19200</v>
      </c>
      <c r="H32" s="132">
        <v>19200</v>
      </c>
      <c r="I32" s="132"/>
      <c r="J32" s="132">
        <f t="shared" si="1"/>
        <v>19200</v>
      </c>
      <c r="K32" s="133" t="s">
        <v>166</v>
      </c>
      <c r="L32" s="134"/>
    </row>
    <row r="33" spans="1:12" s="1" customFormat="1" ht="39.950000000000003" customHeight="1">
      <c r="A33" s="401"/>
      <c r="B33" s="401"/>
      <c r="C33" s="120" t="s">
        <v>137</v>
      </c>
      <c r="D33" s="120" t="s">
        <v>30</v>
      </c>
      <c r="E33" s="121">
        <v>96</v>
      </c>
      <c r="F33" s="132"/>
      <c r="G33" s="132">
        <v>19200</v>
      </c>
      <c r="H33" s="132">
        <v>19200</v>
      </c>
      <c r="I33" s="132"/>
      <c r="J33" s="132">
        <f t="shared" si="1"/>
        <v>19200</v>
      </c>
      <c r="K33" s="133" t="s">
        <v>166</v>
      </c>
      <c r="L33" s="142" t="s">
        <v>214</v>
      </c>
    </row>
    <row r="34" spans="1:12" s="1" customFormat="1" ht="39.950000000000003" customHeight="1">
      <c r="A34" s="401"/>
      <c r="B34" s="401"/>
      <c r="C34" s="120" t="s">
        <v>138</v>
      </c>
      <c r="D34" s="143" t="s">
        <v>31</v>
      </c>
      <c r="E34" s="121">
        <v>147</v>
      </c>
      <c r="F34" s="132"/>
      <c r="G34" s="132">
        <v>29400</v>
      </c>
      <c r="H34" s="132">
        <v>29400</v>
      </c>
      <c r="I34" s="132"/>
      <c r="J34" s="132">
        <f t="shared" si="1"/>
        <v>29400</v>
      </c>
      <c r="K34" s="133" t="s">
        <v>166</v>
      </c>
      <c r="L34" s="134"/>
    </row>
    <row r="35" spans="1:12" s="1" customFormat="1" ht="39.950000000000003" customHeight="1">
      <c r="A35" s="401"/>
      <c r="B35" s="401"/>
      <c r="C35" s="120" t="s">
        <v>139</v>
      </c>
      <c r="D35" s="120" t="s">
        <v>158</v>
      </c>
      <c r="E35" s="121">
        <v>147</v>
      </c>
      <c r="F35" s="132"/>
      <c r="G35" s="132">
        <v>29400</v>
      </c>
      <c r="H35" s="132">
        <v>29400</v>
      </c>
      <c r="I35" s="132"/>
      <c r="J35" s="132">
        <f t="shared" si="1"/>
        <v>29400</v>
      </c>
      <c r="K35" s="133" t="s">
        <v>166</v>
      </c>
      <c r="L35" s="134"/>
    </row>
    <row r="36" spans="1:12" s="1" customFormat="1" ht="39.950000000000003" customHeight="1">
      <c r="A36" s="401"/>
      <c r="B36" s="401"/>
      <c r="C36" s="120" t="s">
        <v>140</v>
      </c>
      <c r="D36" s="143" t="s">
        <v>32</v>
      </c>
      <c r="E36" s="121">
        <v>99</v>
      </c>
      <c r="F36" s="132"/>
      <c r="G36" s="132">
        <v>19800</v>
      </c>
      <c r="H36" s="132">
        <v>19800</v>
      </c>
      <c r="I36" s="132"/>
      <c r="J36" s="132">
        <f t="shared" si="1"/>
        <v>19800</v>
      </c>
      <c r="K36" s="133" t="s">
        <v>166</v>
      </c>
      <c r="L36" s="134"/>
    </row>
    <row r="37" spans="1:12" s="1" customFormat="1" ht="39.950000000000003" customHeight="1">
      <c r="A37" s="401"/>
      <c r="B37" s="401"/>
      <c r="C37" s="120" t="s">
        <v>141</v>
      </c>
      <c r="D37" s="120" t="s">
        <v>158</v>
      </c>
      <c r="E37" s="121">
        <v>192</v>
      </c>
      <c r="F37" s="132"/>
      <c r="G37" s="132">
        <v>38400</v>
      </c>
      <c r="H37" s="132">
        <v>38400</v>
      </c>
      <c r="I37" s="132"/>
      <c r="J37" s="132">
        <f t="shared" si="1"/>
        <v>38400</v>
      </c>
      <c r="K37" s="133" t="s">
        <v>166</v>
      </c>
      <c r="L37" s="134"/>
    </row>
    <row r="38" spans="1:12" s="1" customFormat="1" ht="39.950000000000003" customHeight="1">
      <c r="A38" s="401"/>
      <c r="B38" s="401"/>
      <c r="C38" s="120" t="s">
        <v>142</v>
      </c>
      <c r="D38" s="120" t="s">
        <v>13</v>
      </c>
      <c r="E38" s="121">
        <v>96</v>
      </c>
      <c r="F38" s="132"/>
      <c r="G38" s="132">
        <v>19200</v>
      </c>
      <c r="H38" s="132">
        <v>19200</v>
      </c>
      <c r="I38" s="132"/>
      <c r="J38" s="132">
        <f t="shared" si="1"/>
        <v>19200</v>
      </c>
      <c r="K38" s="133" t="s">
        <v>166</v>
      </c>
      <c r="L38" s="134"/>
    </row>
    <row r="39" spans="1:12" s="1" customFormat="1" ht="39.950000000000003" customHeight="1">
      <c r="A39" s="401"/>
      <c r="B39" s="401"/>
      <c r="C39" s="120" t="s">
        <v>143</v>
      </c>
      <c r="D39" s="120" t="s">
        <v>158</v>
      </c>
      <c r="E39" s="121">
        <v>96</v>
      </c>
      <c r="F39" s="132"/>
      <c r="G39" s="132">
        <v>19200</v>
      </c>
      <c r="H39" s="132">
        <v>19200</v>
      </c>
      <c r="I39" s="132"/>
      <c r="J39" s="132">
        <f t="shared" si="1"/>
        <v>19200</v>
      </c>
      <c r="K39" s="133" t="s">
        <v>166</v>
      </c>
      <c r="L39" s="134"/>
    </row>
    <row r="40" spans="1:12" ht="39.950000000000003" customHeight="1">
      <c r="A40" s="120">
        <v>8</v>
      </c>
      <c r="B40" s="120" t="s">
        <v>55</v>
      </c>
      <c r="C40" s="120" t="s">
        <v>144</v>
      </c>
      <c r="D40" s="120" t="s">
        <v>33</v>
      </c>
      <c r="E40" s="121">
        <v>96</v>
      </c>
      <c r="F40" s="132"/>
      <c r="G40" s="132">
        <v>28800</v>
      </c>
      <c r="H40" s="132"/>
      <c r="I40" s="132"/>
      <c r="J40" s="132">
        <f t="shared" si="1"/>
        <v>28800</v>
      </c>
      <c r="K40" s="133" t="s">
        <v>166</v>
      </c>
      <c r="L40" s="141" t="s">
        <v>214</v>
      </c>
    </row>
    <row r="41" spans="1:12" ht="39.950000000000003" customHeight="1">
      <c r="A41" s="122"/>
      <c r="B41" s="122"/>
      <c r="C41" s="122"/>
      <c r="D41" s="122"/>
      <c r="E41" s="123">
        <f>SUM(E4:E40)</f>
        <v>4208</v>
      </c>
      <c r="F41" s="123"/>
      <c r="G41" s="123"/>
      <c r="H41" s="123"/>
      <c r="I41" s="123"/>
      <c r="J41" s="124"/>
      <c r="K41" s="125"/>
    </row>
    <row r="42" spans="1:12" ht="39.950000000000003" customHeight="1">
      <c r="A42" s="408" t="s">
        <v>47</v>
      </c>
      <c r="B42" s="408"/>
      <c r="C42" s="408"/>
      <c r="D42" s="408"/>
      <c r="E42" s="408"/>
      <c r="F42" s="136">
        <f>SUM(F4:F41)</f>
        <v>270200</v>
      </c>
      <c r="G42" s="137">
        <f>SUM(G4:G41)</f>
        <v>753040</v>
      </c>
      <c r="H42" s="137"/>
      <c r="I42" s="137"/>
      <c r="J42" s="138">
        <f>SUM(J4:J41)</f>
        <v>1183440</v>
      </c>
      <c r="K42" s="139"/>
      <c r="L42" s="134"/>
    </row>
    <row r="47" spans="1:12" ht="15.75" thickBot="1"/>
    <row r="48" spans="1:12" ht="24.75" thickTop="1" thickBot="1">
      <c r="A48" s="405" t="s">
        <v>58</v>
      </c>
      <c r="B48" s="406"/>
      <c r="C48" s="406"/>
      <c r="D48" s="406"/>
      <c r="E48" s="406"/>
      <c r="F48" s="406"/>
      <c r="G48" s="406"/>
      <c r="H48" s="406"/>
      <c r="I48" s="406"/>
      <c r="J48" s="407"/>
      <c r="K48" s="19"/>
    </row>
    <row r="49" spans="1:12" ht="43.5" thickTop="1" thickBot="1">
      <c r="A49" s="21" t="s">
        <v>67</v>
      </c>
      <c r="B49" s="22" t="s">
        <v>0</v>
      </c>
      <c r="C49" s="22" t="s">
        <v>1</v>
      </c>
      <c r="D49" s="22" t="s">
        <v>2</v>
      </c>
      <c r="E49" s="23" t="s">
        <v>45</v>
      </c>
      <c r="F49" s="42"/>
      <c r="G49" s="42"/>
      <c r="H49" s="42"/>
      <c r="I49" s="42"/>
      <c r="J49" s="24" t="s">
        <v>74</v>
      </c>
    </row>
    <row r="50" spans="1:12" ht="16.5" thickTop="1">
      <c r="A50" s="25">
        <v>1</v>
      </c>
      <c r="B50" s="26" t="s">
        <v>48</v>
      </c>
      <c r="C50" s="15" t="s">
        <v>63</v>
      </c>
      <c r="D50" s="27"/>
      <c r="E50" s="28">
        <v>20000</v>
      </c>
      <c r="F50" s="28"/>
      <c r="G50" s="28"/>
      <c r="H50" s="28"/>
      <c r="I50" s="28"/>
      <c r="J50" s="9"/>
    </row>
    <row r="51" spans="1:12" ht="15.75">
      <c r="A51" s="29">
        <v>2</v>
      </c>
      <c r="B51" s="13" t="s">
        <v>49</v>
      </c>
      <c r="C51" s="2" t="s">
        <v>63</v>
      </c>
      <c r="D51" s="3"/>
      <c r="E51" s="17">
        <v>30000</v>
      </c>
      <c r="F51" s="84"/>
      <c r="G51" s="84"/>
      <c r="H51" s="84"/>
      <c r="I51" s="84"/>
      <c r="J51" s="10"/>
    </row>
    <row r="52" spans="1:12" ht="15.75">
      <c r="A52" s="29">
        <v>3</v>
      </c>
      <c r="B52" s="13" t="s">
        <v>70</v>
      </c>
      <c r="C52" s="2" t="s">
        <v>71</v>
      </c>
      <c r="D52" s="3" t="s">
        <v>72</v>
      </c>
      <c r="E52" s="17">
        <v>50000</v>
      </c>
      <c r="F52" s="84"/>
      <c r="G52" s="84"/>
      <c r="H52" s="84"/>
      <c r="I52" s="84"/>
      <c r="J52" s="10"/>
    </row>
    <row r="53" spans="1:12" ht="15.75">
      <c r="A53" s="29">
        <v>4</v>
      </c>
      <c r="B53" s="13" t="s">
        <v>50</v>
      </c>
      <c r="C53" s="2" t="s">
        <v>37</v>
      </c>
      <c r="D53" s="3" t="s">
        <v>38</v>
      </c>
      <c r="E53" s="17">
        <v>30000</v>
      </c>
      <c r="F53" s="84"/>
      <c r="G53" s="84"/>
      <c r="H53" s="84"/>
      <c r="I53" s="84"/>
      <c r="J53" s="10"/>
    </row>
    <row r="54" spans="1:12" ht="15.75">
      <c r="A54" s="29">
        <v>5</v>
      </c>
      <c r="B54" s="14" t="s">
        <v>52</v>
      </c>
      <c r="C54" s="6" t="s">
        <v>61</v>
      </c>
      <c r="D54" s="7" t="s">
        <v>62</v>
      </c>
      <c r="E54" s="8">
        <v>15000</v>
      </c>
      <c r="F54" s="8"/>
      <c r="G54" s="8"/>
      <c r="H54" s="8"/>
      <c r="I54" s="8"/>
      <c r="J54" s="10"/>
    </row>
    <row r="55" spans="1:12" ht="15.75">
      <c r="A55" s="29">
        <v>6</v>
      </c>
      <c r="B55" s="13" t="s">
        <v>54</v>
      </c>
      <c r="C55" s="2" t="s">
        <v>41</v>
      </c>
      <c r="D55" s="3" t="s">
        <v>40</v>
      </c>
      <c r="E55" s="17">
        <v>35000</v>
      </c>
      <c r="F55" s="84"/>
      <c r="G55" s="84"/>
      <c r="H55" s="84"/>
      <c r="I55" s="84"/>
      <c r="J55" s="10"/>
    </row>
    <row r="56" spans="1:12" ht="15.75">
      <c r="A56" s="29">
        <v>7</v>
      </c>
      <c r="B56" s="13" t="s">
        <v>56</v>
      </c>
      <c r="C56" s="2" t="s">
        <v>43</v>
      </c>
      <c r="D56" s="3" t="s">
        <v>42</v>
      </c>
      <c r="E56" s="17">
        <v>25000</v>
      </c>
      <c r="F56" s="84"/>
      <c r="G56" s="84"/>
      <c r="H56" s="84"/>
      <c r="I56" s="84"/>
      <c r="J56" s="10"/>
    </row>
    <row r="57" spans="1:12" ht="16.5" thickBot="1">
      <c r="A57" s="29">
        <v>8</v>
      </c>
      <c r="B57" s="14" t="s">
        <v>57</v>
      </c>
      <c r="C57" s="2" t="s">
        <v>59</v>
      </c>
      <c r="D57" s="7" t="s">
        <v>60</v>
      </c>
      <c r="E57" s="8">
        <v>50000</v>
      </c>
      <c r="F57" s="8"/>
      <c r="G57" s="8"/>
      <c r="H57" s="8"/>
      <c r="I57" s="8"/>
      <c r="J57" s="10"/>
    </row>
    <row r="58" spans="1:12" ht="20.25" thickTop="1" thickBot="1">
      <c r="A58" s="403" t="s">
        <v>47</v>
      </c>
      <c r="B58" s="404"/>
      <c r="C58" s="404"/>
      <c r="D58" s="404"/>
      <c r="E58" s="18">
        <f>SUM(E50:E57)</f>
        <v>255000</v>
      </c>
      <c r="F58" s="43"/>
      <c r="G58" s="43"/>
      <c r="H58" s="43"/>
      <c r="I58" s="43"/>
      <c r="J58" s="30"/>
    </row>
    <row r="59" spans="1:12" ht="15.75" thickTop="1"/>
    <row r="61" spans="1:12" s="244" customFormat="1"/>
    <row r="63" spans="1:12" ht="15.75" thickBot="1"/>
    <row r="64" spans="1:12" ht="18.75">
      <c r="A64" s="86"/>
      <c r="B64" s="409"/>
      <c r="C64" s="409"/>
      <c r="D64" s="409"/>
      <c r="E64" s="409"/>
      <c r="F64" s="240"/>
      <c r="G64" s="240"/>
      <c r="H64" s="240"/>
      <c r="I64" s="240"/>
      <c r="J64" s="240"/>
      <c r="K64" s="88" t="s">
        <v>159</v>
      </c>
      <c r="L64" s="242"/>
    </row>
    <row r="65" spans="1:12" ht="23.25">
      <c r="A65" s="410" t="s">
        <v>58</v>
      </c>
      <c r="B65" s="411"/>
      <c r="C65" s="411"/>
      <c r="D65" s="411"/>
      <c r="E65" s="411"/>
      <c r="F65" s="411"/>
      <c r="G65" s="411"/>
      <c r="H65" s="411"/>
      <c r="I65" s="411"/>
      <c r="J65" s="411"/>
      <c r="K65" s="411"/>
      <c r="L65" s="411"/>
    </row>
    <row r="66" spans="1:12" ht="46.5">
      <c r="A66" s="241" t="s">
        <v>161</v>
      </c>
      <c r="B66" s="241" t="s">
        <v>0</v>
      </c>
      <c r="C66" s="241" t="s">
        <v>160</v>
      </c>
      <c r="D66" s="127" t="s">
        <v>46</v>
      </c>
      <c r="E66" s="241" t="s">
        <v>162</v>
      </c>
      <c r="F66" s="128" t="s">
        <v>164</v>
      </c>
      <c r="G66" s="128" t="s">
        <v>163</v>
      </c>
      <c r="H66" s="128" t="s">
        <v>216</v>
      </c>
      <c r="I66" s="128" t="s">
        <v>220</v>
      </c>
      <c r="J66" s="129" t="s">
        <v>65</v>
      </c>
      <c r="K66" s="130" t="s">
        <v>211</v>
      </c>
      <c r="L66" s="131" t="s">
        <v>74</v>
      </c>
    </row>
    <row r="67" spans="1:12" ht="46.5">
      <c r="A67" s="401">
        <v>1</v>
      </c>
      <c r="B67" s="401" t="s">
        <v>7</v>
      </c>
      <c r="C67" s="239" t="s">
        <v>115</v>
      </c>
      <c r="D67" s="241" t="s">
        <v>14</v>
      </c>
      <c r="E67" s="121">
        <v>96</v>
      </c>
      <c r="F67" s="132">
        <v>14400</v>
      </c>
      <c r="G67" s="132">
        <v>14400</v>
      </c>
      <c r="H67" s="132">
        <v>0</v>
      </c>
      <c r="I67" s="132">
        <v>0</v>
      </c>
      <c r="J67" s="132">
        <f>F67+G67+H67+I67</f>
        <v>28800</v>
      </c>
      <c r="K67" s="133" t="s">
        <v>165</v>
      </c>
      <c r="L67" s="154" t="s">
        <v>219</v>
      </c>
    </row>
    <row r="68" spans="1:12" ht="46.5">
      <c r="A68" s="401"/>
      <c r="B68" s="401"/>
      <c r="C68" s="239" t="s">
        <v>116</v>
      </c>
      <c r="D68" s="241" t="s">
        <v>15</v>
      </c>
      <c r="E68" s="121">
        <v>96</v>
      </c>
      <c r="F68" s="132">
        <v>14400</v>
      </c>
      <c r="G68" s="132">
        <v>14400</v>
      </c>
      <c r="H68" s="132">
        <v>0</v>
      </c>
      <c r="I68" s="132">
        <v>0</v>
      </c>
      <c r="J68" s="132">
        <f>F68+G68+H68+I68</f>
        <v>28800</v>
      </c>
      <c r="K68" s="133" t="s">
        <v>165</v>
      </c>
      <c r="L68" s="154" t="s">
        <v>219</v>
      </c>
    </row>
    <row r="69" spans="1:12" ht="30">
      <c r="A69" s="239">
        <v>2</v>
      </c>
      <c r="B69" s="239" t="s">
        <v>8</v>
      </c>
      <c r="C69" s="239" t="s">
        <v>112</v>
      </c>
      <c r="D69" s="239" t="s">
        <v>16</v>
      </c>
      <c r="E69" s="121">
        <v>96</v>
      </c>
      <c r="F69" s="132">
        <v>0</v>
      </c>
      <c r="G69" s="132">
        <v>14400</v>
      </c>
      <c r="H69" s="132">
        <v>14400</v>
      </c>
      <c r="I69" s="132">
        <v>14400</v>
      </c>
      <c r="J69" s="132">
        <f t="shared" ref="J69:J103" si="3">F69+G69+H69+I69</f>
        <v>43200</v>
      </c>
      <c r="K69" s="133" t="s">
        <v>166</v>
      </c>
      <c r="L69" s="141" t="s">
        <v>215</v>
      </c>
    </row>
    <row r="70" spans="1:12" ht="30">
      <c r="A70" s="401">
        <v>3</v>
      </c>
      <c r="B70" s="401" t="s">
        <v>5</v>
      </c>
      <c r="C70" s="239" t="s">
        <v>102</v>
      </c>
      <c r="D70" s="239" t="s">
        <v>23</v>
      </c>
      <c r="E70" s="121">
        <v>96</v>
      </c>
      <c r="F70" s="132">
        <v>0</v>
      </c>
      <c r="G70" s="132">
        <v>17280</v>
      </c>
      <c r="H70" s="132">
        <v>0</v>
      </c>
      <c r="I70" s="132">
        <v>0</v>
      </c>
      <c r="J70" s="132">
        <f t="shared" si="3"/>
        <v>17280</v>
      </c>
      <c r="K70" s="133" t="s">
        <v>166</v>
      </c>
      <c r="L70" s="141" t="s">
        <v>213</v>
      </c>
    </row>
    <row r="71" spans="1:12" ht="21">
      <c r="A71" s="401"/>
      <c r="B71" s="401"/>
      <c r="C71" s="239" t="s">
        <v>117</v>
      </c>
      <c r="D71" s="239" t="s">
        <v>158</v>
      </c>
      <c r="E71" s="121">
        <v>98</v>
      </c>
      <c r="F71" s="132">
        <v>0</v>
      </c>
      <c r="G71" s="132">
        <v>17640</v>
      </c>
      <c r="H71" s="132">
        <v>0</v>
      </c>
      <c r="I71" s="132">
        <v>0</v>
      </c>
      <c r="J71" s="132">
        <f t="shared" si="3"/>
        <v>17640</v>
      </c>
      <c r="K71" s="133" t="s">
        <v>166</v>
      </c>
      <c r="L71" s="135"/>
    </row>
    <row r="72" spans="1:12" ht="21">
      <c r="A72" s="401"/>
      <c r="B72" s="401"/>
      <c r="C72" s="239" t="s">
        <v>118</v>
      </c>
      <c r="D72" s="239" t="s">
        <v>158</v>
      </c>
      <c r="E72" s="121">
        <v>99</v>
      </c>
      <c r="F72" s="132">
        <v>0</v>
      </c>
      <c r="G72" s="132">
        <v>17820</v>
      </c>
      <c r="H72" s="132">
        <v>0</v>
      </c>
      <c r="I72" s="132">
        <v>0</v>
      </c>
      <c r="J72" s="132">
        <f t="shared" si="3"/>
        <v>17820</v>
      </c>
      <c r="K72" s="133" t="s">
        <v>166</v>
      </c>
      <c r="L72" s="135"/>
    </row>
    <row r="73" spans="1:12" ht="21">
      <c r="A73" s="401"/>
      <c r="B73" s="401"/>
      <c r="C73" s="239" t="s">
        <v>119</v>
      </c>
      <c r="D73" s="239" t="s">
        <v>158</v>
      </c>
      <c r="E73" s="121">
        <v>147</v>
      </c>
      <c r="F73" s="132">
        <v>0</v>
      </c>
      <c r="G73" s="132">
        <v>26460</v>
      </c>
      <c r="H73" s="132">
        <v>0</v>
      </c>
      <c r="I73" s="132">
        <v>0</v>
      </c>
      <c r="J73" s="132">
        <f t="shared" si="3"/>
        <v>26460</v>
      </c>
      <c r="K73" s="133" t="s">
        <v>166</v>
      </c>
      <c r="L73" s="135"/>
    </row>
    <row r="74" spans="1:12" ht="21">
      <c r="A74" s="401"/>
      <c r="B74" s="401"/>
      <c r="C74" s="239" t="s">
        <v>120</v>
      </c>
      <c r="D74" s="239" t="s">
        <v>158</v>
      </c>
      <c r="E74" s="121">
        <v>147</v>
      </c>
      <c r="F74" s="132">
        <v>0</v>
      </c>
      <c r="G74" s="132">
        <v>26460</v>
      </c>
      <c r="H74" s="132">
        <v>0</v>
      </c>
      <c r="I74" s="132">
        <v>0</v>
      </c>
      <c r="J74" s="132">
        <f t="shared" si="3"/>
        <v>26460</v>
      </c>
      <c r="K74" s="133" t="s">
        <v>166</v>
      </c>
      <c r="L74" s="135"/>
    </row>
    <row r="75" spans="1:12" ht="21">
      <c r="A75" s="401"/>
      <c r="B75" s="401"/>
      <c r="C75" s="239" t="s">
        <v>121</v>
      </c>
      <c r="D75" s="239" t="s">
        <v>13</v>
      </c>
      <c r="E75" s="121">
        <v>99</v>
      </c>
      <c r="F75" s="132">
        <v>0</v>
      </c>
      <c r="G75" s="132">
        <v>17820</v>
      </c>
      <c r="H75" s="132">
        <v>0</v>
      </c>
      <c r="I75" s="132">
        <v>0</v>
      </c>
      <c r="J75" s="132">
        <f t="shared" si="3"/>
        <v>17820</v>
      </c>
      <c r="K75" s="133" t="s">
        <v>166</v>
      </c>
      <c r="L75" s="135"/>
    </row>
    <row r="76" spans="1:12" ht="21">
      <c r="A76" s="401"/>
      <c r="B76" s="401"/>
      <c r="C76" s="239" t="s">
        <v>122</v>
      </c>
      <c r="D76" s="239" t="s">
        <v>158</v>
      </c>
      <c r="E76" s="121">
        <v>192</v>
      </c>
      <c r="F76" s="132">
        <v>0</v>
      </c>
      <c r="G76" s="132">
        <v>34560</v>
      </c>
      <c r="H76" s="132">
        <v>0</v>
      </c>
      <c r="I76" s="132">
        <v>0</v>
      </c>
      <c r="J76" s="132">
        <f t="shared" si="3"/>
        <v>34560</v>
      </c>
      <c r="K76" s="133" t="s">
        <v>166</v>
      </c>
      <c r="L76" s="135"/>
    </row>
    <row r="77" spans="1:12" ht="21">
      <c r="A77" s="401">
        <v>4</v>
      </c>
      <c r="B77" s="401" t="s">
        <v>4</v>
      </c>
      <c r="C77" s="239" t="s">
        <v>145</v>
      </c>
      <c r="D77" s="239" t="s">
        <v>13</v>
      </c>
      <c r="E77" s="121">
        <v>144</v>
      </c>
      <c r="F77" s="132">
        <v>14400</v>
      </c>
      <c r="G77" s="132">
        <v>14400</v>
      </c>
      <c r="H77" s="132">
        <v>14400</v>
      </c>
      <c r="I77" s="132">
        <v>14400</v>
      </c>
      <c r="J77" s="132">
        <f t="shared" si="3"/>
        <v>57600</v>
      </c>
      <c r="K77" s="133" t="s">
        <v>165</v>
      </c>
      <c r="L77" s="134"/>
    </row>
    <row r="78" spans="1:12" ht="21">
      <c r="A78" s="401"/>
      <c r="B78" s="401"/>
      <c r="C78" s="239" t="s">
        <v>146</v>
      </c>
      <c r="D78" s="241" t="s">
        <v>17</v>
      </c>
      <c r="E78" s="121">
        <v>96</v>
      </c>
      <c r="F78" s="132">
        <v>9600</v>
      </c>
      <c r="G78" s="132">
        <v>9600</v>
      </c>
      <c r="H78" s="132">
        <v>9600</v>
      </c>
      <c r="I78" s="132">
        <v>9600</v>
      </c>
      <c r="J78" s="132">
        <f t="shared" si="3"/>
        <v>38400</v>
      </c>
      <c r="K78" s="133" t="s">
        <v>165</v>
      </c>
      <c r="L78" s="134"/>
    </row>
    <row r="79" spans="1:12" ht="21">
      <c r="A79" s="401"/>
      <c r="B79" s="401"/>
      <c r="C79" s="239" t="s">
        <v>147</v>
      </c>
      <c r="D79" s="241" t="s">
        <v>18</v>
      </c>
      <c r="E79" s="121">
        <v>96</v>
      </c>
      <c r="F79" s="132">
        <v>9600</v>
      </c>
      <c r="G79" s="132">
        <v>9600</v>
      </c>
      <c r="H79" s="132">
        <v>9600</v>
      </c>
      <c r="I79" s="132">
        <v>9600</v>
      </c>
      <c r="J79" s="132">
        <f t="shared" si="3"/>
        <v>38400</v>
      </c>
      <c r="K79" s="133" t="s">
        <v>165</v>
      </c>
      <c r="L79" s="134"/>
    </row>
    <row r="80" spans="1:12" ht="21">
      <c r="A80" s="401"/>
      <c r="B80" s="401"/>
      <c r="C80" s="239" t="s">
        <v>148</v>
      </c>
      <c r="D80" s="241" t="s">
        <v>19</v>
      </c>
      <c r="E80" s="121">
        <v>96</v>
      </c>
      <c r="F80" s="132">
        <v>9600</v>
      </c>
      <c r="G80" s="132">
        <v>9600</v>
      </c>
      <c r="H80" s="132">
        <v>9600</v>
      </c>
      <c r="I80" s="132">
        <v>9600</v>
      </c>
      <c r="J80" s="132">
        <f t="shared" si="3"/>
        <v>38400</v>
      </c>
      <c r="K80" s="133" t="s">
        <v>165</v>
      </c>
      <c r="L80" s="134"/>
    </row>
    <row r="81" spans="1:12" ht="21">
      <c r="A81" s="401"/>
      <c r="B81" s="401"/>
      <c r="C81" s="239" t="s">
        <v>149</v>
      </c>
      <c r="D81" s="241" t="s">
        <v>20</v>
      </c>
      <c r="E81" s="121">
        <v>118</v>
      </c>
      <c r="F81" s="132">
        <v>11800</v>
      </c>
      <c r="G81" s="132">
        <v>11800</v>
      </c>
      <c r="H81" s="132">
        <v>11800</v>
      </c>
      <c r="I81" s="132">
        <v>11800</v>
      </c>
      <c r="J81" s="132">
        <f t="shared" si="3"/>
        <v>47200</v>
      </c>
      <c r="K81" s="133" t="s">
        <v>165</v>
      </c>
      <c r="L81" s="134"/>
    </row>
    <row r="82" spans="1:12" ht="21">
      <c r="A82" s="401"/>
      <c r="B82" s="401"/>
      <c r="C82" s="239" t="s">
        <v>150</v>
      </c>
      <c r="D82" s="241" t="s">
        <v>20</v>
      </c>
      <c r="E82" s="121">
        <v>118</v>
      </c>
      <c r="F82" s="132">
        <v>11800</v>
      </c>
      <c r="G82" s="132">
        <v>11800</v>
      </c>
      <c r="H82" s="132">
        <v>11800</v>
      </c>
      <c r="I82" s="132">
        <v>11800</v>
      </c>
      <c r="J82" s="132">
        <f t="shared" si="3"/>
        <v>47200</v>
      </c>
      <c r="K82" s="133" t="s">
        <v>165</v>
      </c>
      <c r="L82" s="134"/>
    </row>
    <row r="83" spans="1:12" ht="30">
      <c r="A83" s="401"/>
      <c r="B83" s="401"/>
      <c r="C83" s="239" t="s">
        <v>151</v>
      </c>
      <c r="D83" s="239" t="s">
        <v>21</v>
      </c>
      <c r="E83" s="121">
        <v>96</v>
      </c>
      <c r="F83" s="132">
        <v>9600</v>
      </c>
      <c r="G83" s="132">
        <v>9600</v>
      </c>
      <c r="H83" s="132">
        <v>9600</v>
      </c>
      <c r="I83" s="132">
        <v>9600</v>
      </c>
      <c r="J83" s="132">
        <f t="shared" si="3"/>
        <v>38400</v>
      </c>
      <c r="K83" s="133" t="s">
        <v>165</v>
      </c>
      <c r="L83" s="141" t="s">
        <v>212</v>
      </c>
    </row>
    <row r="84" spans="1:12" ht="21">
      <c r="A84" s="401"/>
      <c r="B84" s="401"/>
      <c r="C84" s="239" t="s">
        <v>152</v>
      </c>
      <c r="D84" s="239" t="s">
        <v>12</v>
      </c>
      <c r="E84" s="121">
        <v>96</v>
      </c>
      <c r="F84" s="132">
        <v>9600</v>
      </c>
      <c r="G84" s="132">
        <v>9600</v>
      </c>
      <c r="H84" s="132">
        <v>9600</v>
      </c>
      <c r="I84" s="132">
        <v>9600</v>
      </c>
      <c r="J84" s="132">
        <f t="shared" si="3"/>
        <v>38400</v>
      </c>
      <c r="K84" s="133" t="s">
        <v>165</v>
      </c>
      <c r="L84" s="134"/>
    </row>
    <row r="85" spans="1:12" ht="21">
      <c r="A85" s="401"/>
      <c r="B85" s="401"/>
      <c r="C85" s="239" t="s">
        <v>153</v>
      </c>
      <c r="D85" s="241" t="s">
        <v>22</v>
      </c>
      <c r="E85" s="121">
        <v>96</v>
      </c>
      <c r="F85" s="132">
        <v>9600</v>
      </c>
      <c r="G85" s="132">
        <v>9600</v>
      </c>
      <c r="H85" s="132">
        <v>9600</v>
      </c>
      <c r="I85" s="132">
        <v>9600</v>
      </c>
      <c r="J85" s="132">
        <f t="shared" si="3"/>
        <v>38400</v>
      </c>
      <c r="K85" s="133" t="s">
        <v>165</v>
      </c>
      <c r="L85" s="134"/>
    </row>
    <row r="86" spans="1:12" ht="21">
      <c r="A86" s="401"/>
      <c r="B86" s="401"/>
      <c r="C86" s="239" t="s">
        <v>154</v>
      </c>
      <c r="D86" s="239" t="s">
        <v>13</v>
      </c>
      <c r="E86" s="121">
        <v>144</v>
      </c>
      <c r="F86" s="132">
        <v>14400</v>
      </c>
      <c r="G86" s="132">
        <v>14400</v>
      </c>
      <c r="H86" s="132">
        <v>14400</v>
      </c>
      <c r="I86" s="132">
        <v>14400</v>
      </c>
      <c r="J86" s="132">
        <f t="shared" si="3"/>
        <v>57600</v>
      </c>
      <c r="K86" s="133" t="s">
        <v>165</v>
      </c>
      <c r="L86" s="134"/>
    </row>
    <row r="87" spans="1:12" ht="21">
      <c r="A87" s="401">
        <v>5</v>
      </c>
      <c r="B87" s="401" t="s">
        <v>34</v>
      </c>
      <c r="C87" s="239" t="s">
        <v>126</v>
      </c>
      <c r="D87" s="241" t="s">
        <v>35</v>
      </c>
      <c r="E87" s="121">
        <v>96</v>
      </c>
      <c r="F87" s="132">
        <v>28800</v>
      </c>
      <c r="G87" s="132">
        <v>28800</v>
      </c>
      <c r="H87" s="132">
        <v>28800</v>
      </c>
      <c r="I87" s="132">
        <v>28800</v>
      </c>
      <c r="J87" s="132">
        <f t="shared" si="3"/>
        <v>115200</v>
      </c>
      <c r="K87" s="133" t="s">
        <v>232</v>
      </c>
      <c r="L87" s="134"/>
    </row>
    <row r="88" spans="1:12" ht="21">
      <c r="A88" s="401"/>
      <c r="B88" s="401"/>
      <c r="C88" s="239" t="s">
        <v>127</v>
      </c>
      <c r="D88" s="241" t="s">
        <v>36</v>
      </c>
      <c r="E88" s="121">
        <v>96</v>
      </c>
      <c r="F88" s="132">
        <v>28800</v>
      </c>
      <c r="G88" s="132">
        <v>28800</v>
      </c>
      <c r="H88" s="132">
        <v>28800</v>
      </c>
      <c r="I88" s="132">
        <v>28800</v>
      </c>
      <c r="J88" s="132">
        <f t="shared" si="3"/>
        <v>115200</v>
      </c>
      <c r="K88" s="133" t="s">
        <v>232</v>
      </c>
      <c r="L88" s="134"/>
    </row>
    <row r="89" spans="1:12" ht="21">
      <c r="A89" s="401"/>
      <c r="B89" s="401"/>
      <c r="C89" s="239" t="s">
        <v>128</v>
      </c>
      <c r="D89" s="239" t="s">
        <v>12</v>
      </c>
      <c r="E89" s="121">
        <v>99</v>
      </c>
      <c r="F89" s="132">
        <v>29700</v>
      </c>
      <c r="G89" s="132">
        <v>29700</v>
      </c>
      <c r="H89" s="132">
        <v>29700</v>
      </c>
      <c r="I89" s="132">
        <v>29700</v>
      </c>
      <c r="J89" s="132">
        <f t="shared" si="3"/>
        <v>118800</v>
      </c>
      <c r="K89" s="133" t="s">
        <v>232</v>
      </c>
      <c r="L89" s="134"/>
    </row>
    <row r="90" spans="1:12" ht="21">
      <c r="A90" s="401"/>
      <c r="B90" s="401"/>
      <c r="C90" s="239" t="s">
        <v>129</v>
      </c>
      <c r="D90" s="239" t="s">
        <v>12</v>
      </c>
      <c r="E90" s="121">
        <v>147</v>
      </c>
      <c r="F90" s="132">
        <v>44100</v>
      </c>
      <c r="G90" s="132">
        <v>44100</v>
      </c>
      <c r="H90" s="132">
        <v>44100</v>
      </c>
      <c r="I90" s="132">
        <v>44100</v>
      </c>
      <c r="J90" s="132">
        <f t="shared" si="3"/>
        <v>176400</v>
      </c>
      <c r="K90" s="133" t="s">
        <v>232</v>
      </c>
      <c r="L90" s="134"/>
    </row>
    <row r="91" spans="1:12" ht="21">
      <c r="A91" s="401">
        <v>6</v>
      </c>
      <c r="B91" s="401" t="s">
        <v>53</v>
      </c>
      <c r="C91" s="239" t="s">
        <v>132</v>
      </c>
      <c r="D91" s="239" t="s">
        <v>158</v>
      </c>
      <c r="E91" s="121">
        <v>144</v>
      </c>
      <c r="F91" s="132">
        <v>0</v>
      </c>
      <c r="G91" s="132">
        <v>28800</v>
      </c>
      <c r="H91" s="132">
        <v>28800</v>
      </c>
      <c r="I91" s="132">
        <v>28800</v>
      </c>
      <c r="J91" s="132">
        <f t="shared" si="3"/>
        <v>86400</v>
      </c>
      <c r="K91" s="133" t="s">
        <v>231</v>
      </c>
      <c r="L91" s="134"/>
    </row>
    <row r="92" spans="1:12" ht="21">
      <c r="A92" s="401"/>
      <c r="B92" s="401"/>
      <c r="C92" s="239" t="s">
        <v>133</v>
      </c>
      <c r="D92" s="241" t="s">
        <v>26</v>
      </c>
      <c r="E92" s="121">
        <v>98</v>
      </c>
      <c r="F92" s="132">
        <v>0</v>
      </c>
      <c r="G92" s="132">
        <v>19600</v>
      </c>
      <c r="H92" s="132">
        <v>19600</v>
      </c>
      <c r="I92" s="132">
        <v>19600</v>
      </c>
      <c r="J92" s="132">
        <f>F92+G92+H92+I92</f>
        <v>58800</v>
      </c>
      <c r="K92" s="133" t="s">
        <v>166</v>
      </c>
      <c r="L92" s="134"/>
    </row>
    <row r="93" spans="1:12" ht="21">
      <c r="A93" s="401"/>
      <c r="B93" s="401"/>
      <c r="C93" s="239" t="s">
        <v>134</v>
      </c>
      <c r="D93" s="241" t="s">
        <v>27</v>
      </c>
      <c r="E93" s="121">
        <v>98</v>
      </c>
      <c r="F93" s="132">
        <v>0</v>
      </c>
      <c r="G93" s="132">
        <v>19600</v>
      </c>
      <c r="H93" s="132">
        <v>19600</v>
      </c>
      <c r="I93" s="132">
        <v>19600</v>
      </c>
      <c r="J93" s="132">
        <f t="shared" si="3"/>
        <v>58800</v>
      </c>
      <c r="K93" s="133" t="s">
        <v>166</v>
      </c>
      <c r="L93" s="134"/>
    </row>
    <row r="94" spans="1:12" ht="21">
      <c r="A94" s="401"/>
      <c r="B94" s="401"/>
      <c r="C94" s="239" t="s">
        <v>135</v>
      </c>
      <c r="D94" s="241" t="s">
        <v>28</v>
      </c>
      <c r="E94" s="121">
        <v>99</v>
      </c>
      <c r="F94" s="132">
        <v>0</v>
      </c>
      <c r="G94" s="132">
        <v>19800</v>
      </c>
      <c r="H94" s="132">
        <v>19800</v>
      </c>
      <c r="I94" s="132">
        <v>19800</v>
      </c>
      <c r="J94" s="132">
        <f t="shared" si="3"/>
        <v>59400</v>
      </c>
      <c r="K94" s="133" t="s">
        <v>166</v>
      </c>
      <c r="L94" s="134"/>
    </row>
    <row r="95" spans="1:12" ht="21">
      <c r="A95" s="401"/>
      <c r="B95" s="401"/>
      <c r="C95" s="239" t="s">
        <v>136</v>
      </c>
      <c r="D95" s="241" t="s">
        <v>29</v>
      </c>
      <c r="E95" s="121">
        <v>96</v>
      </c>
      <c r="F95" s="132">
        <v>0</v>
      </c>
      <c r="G95" s="132">
        <v>19200</v>
      </c>
      <c r="H95" s="132">
        <v>19200</v>
      </c>
      <c r="I95" s="132">
        <v>19200</v>
      </c>
      <c r="J95" s="132">
        <f t="shared" si="3"/>
        <v>57600</v>
      </c>
      <c r="K95" s="133" t="s">
        <v>166</v>
      </c>
      <c r="L95" s="134"/>
    </row>
    <row r="96" spans="1:12" ht="30">
      <c r="A96" s="401"/>
      <c r="B96" s="401"/>
      <c r="C96" s="239" t="s">
        <v>137</v>
      </c>
      <c r="D96" s="239" t="s">
        <v>30</v>
      </c>
      <c r="E96" s="121">
        <v>96</v>
      </c>
      <c r="F96" s="132">
        <v>0</v>
      </c>
      <c r="G96" s="132">
        <v>19200</v>
      </c>
      <c r="H96" s="132">
        <v>19200</v>
      </c>
      <c r="I96" s="132">
        <v>19200</v>
      </c>
      <c r="J96" s="132">
        <f t="shared" si="3"/>
        <v>57600</v>
      </c>
      <c r="K96" s="133" t="s">
        <v>166</v>
      </c>
      <c r="L96" s="142" t="s">
        <v>214</v>
      </c>
    </row>
    <row r="97" spans="1:12" ht="21">
      <c r="A97" s="401"/>
      <c r="B97" s="401"/>
      <c r="C97" s="239" t="s">
        <v>138</v>
      </c>
      <c r="D97" s="241" t="s">
        <v>31</v>
      </c>
      <c r="E97" s="121">
        <v>147</v>
      </c>
      <c r="F97" s="132">
        <v>0</v>
      </c>
      <c r="G97" s="132">
        <v>29400</v>
      </c>
      <c r="H97" s="132">
        <v>29400</v>
      </c>
      <c r="I97" s="132">
        <v>29400</v>
      </c>
      <c r="J97" s="132">
        <f t="shared" si="3"/>
        <v>88200</v>
      </c>
      <c r="K97" s="133" t="s">
        <v>166</v>
      </c>
      <c r="L97" s="134"/>
    </row>
    <row r="98" spans="1:12" ht="21">
      <c r="A98" s="401"/>
      <c r="B98" s="401"/>
      <c r="C98" s="239" t="s">
        <v>139</v>
      </c>
      <c r="D98" s="239" t="s">
        <v>158</v>
      </c>
      <c r="E98" s="121">
        <v>147</v>
      </c>
      <c r="F98" s="132">
        <v>0</v>
      </c>
      <c r="G98" s="132">
        <v>29400</v>
      </c>
      <c r="H98" s="132">
        <v>29400</v>
      </c>
      <c r="I98" s="132">
        <v>29400</v>
      </c>
      <c r="J98" s="132">
        <f t="shared" si="3"/>
        <v>88200</v>
      </c>
      <c r="K98" s="133" t="s">
        <v>166</v>
      </c>
      <c r="L98" s="134"/>
    </row>
    <row r="99" spans="1:12" ht="21">
      <c r="A99" s="401"/>
      <c r="B99" s="401"/>
      <c r="C99" s="239" t="s">
        <v>140</v>
      </c>
      <c r="D99" s="241" t="s">
        <v>32</v>
      </c>
      <c r="E99" s="121">
        <v>99</v>
      </c>
      <c r="F99" s="132">
        <v>0</v>
      </c>
      <c r="G99" s="132">
        <v>19800</v>
      </c>
      <c r="H99" s="132">
        <v>19800</v>
      </c>
      <c r="I99" s="132">
        <v>19800</v>
      </c>
      <c r="J99" s="132">
        <f t="shared" si="3"/>
        <v>59400</v>
      </c>
      <c r="K99" s="133" t="s">
        <v>166</v>
      </c>
      <c r="L99" s="134"/>
    </row>
    <row r="100" spans="1:12" ht="21">
      <c r="A100" s="401"/>
      <c r="B100" s="401"/>
      <c r="C100" s="239" t="s">
        <v>141</v>
      </c>
      <c r="D100" s="239" t="s">
        <v>158</v>
      </c>
      <c r="E100" s="121">
        <v>192</v>
      </c>
      <c r="F100" s="132">
        <v>0</v>
      </c>
      <c r="G100" s="132">
        <v>38400</v>
      </c>
      <c r="H100" s="132">
        <v>38400</v>
      </c>
      <c r="I100" s="132">
        <v>38400</v>
      </c>
      <c r="J100" s="132">
        <f t="shared" si="3"/>
        <v>115200</v>
      </c>
      <c r="K100" s="133" t="s">
        <v>166</v>
      </c>
      <c r="L100" s="134"/>
    </row>
    <row r="101" spans="1:12" ht="21">
      <c r="A101" s="401"/>
      <c r="B101" s="401"/>
      <c r="C101" s="239" t="s">
        <v>142</v>
      </c>
      <c r="D101" s="239" t="s">
        <v>13</v>
      </c>
      <c r="E101" s="121">
        <v>96</v>
      </c>
      <c r="F101" s="132">
        <v>0</v>
      </c>
      <c r="G101" s="132">
        <v>19200</v>
      </c>
      <c r="H101" s="132">
        <v>19200</v>
      </c>
      <c r="I101" s="132">
        <v>19200</v>
      </c>
      <c r="J101" s="132">
        <f t="shared" si="3"/>
        <v>57600</v>
      </c>
      <c r="K101" s="133" t="s">
        <v>166</v>
      </c>
      <c r="L101" s="134"/>
    </row>
    <row r="102" spans="1:12" ht="21">
      <c r="A102" s="401"/>
      <c r="B102" s="401"/>
      <c r="C102" s="239" t="s">
        <v>143</v>
      </c>
      <c r="D102" s="239" t="s">
        <v>158</v>
      </c>
      <c r="E102" s="121">
        <v>96</v>
      </c>
      <c r="F102" s="132">
        <v>0</v>
      </c>
      <c r="G102" s="132">
        <v>19200</v>
      </c>
      <c r="H102" s="132">
        <v>19200</v>
      </c>
      <c r="I102" s="132">
        <v>19200</v>
      </c>
      <c r="J102" s="132">
        <f t="shared" si="3"/>
        <v>57600</v>
      </c>
      <c r="K102" s="133" t="s">
        <v>166</v>
      </c>
      <c r="L102" s="134"/>
    </row>
    <row r="103" spans="1:12" ht="30">
      <c r="A103" s="239">
        <v>7</v>
      </c>
      <c r="B103" s="239" t="s">
        <v>55</v>
      </c>
      <c r="C103" s="239" t="s">
        <v>144</v>
      </c>
      <c r="D103" s="239" t="s">
        <v>33</v>
      </c>
      <c r="E103" s="121">
        <v>96</v>
      </c>
      <c r="F103" s="132">
        <v>0</v>
      </c>
      <c r="G103" s="132">
        <v>28800</v>
      </c>
      <c r="H103" s="132">
        <v>28800</v>
      </c>
      <c r="I103" s="132">
        <v>28800</v>
      </c>
      <c r="J103" s="132">
        <f t="shared" si="3"/>
        <v>86400</v>
      </c>
      <c r="K103" s="133" t="s">
        <v>166</v>
      </c>
      <c r="L103" s="141" t="s">
        <v>214</v>
      </c>
    </row>
    <row r="104" spans="1:12" ht="21">
      <c r="A104" s="122"/>
      <c r="B104" s="122"/>
      <c r="C104" s="122"/>
      <c r="D104" s="122"/>
      <c r="E104" s="123">
        <f>SUM(E67:E103)</f>
        <v>4208</v>
      </c>
      <c r="F104" s="123"/>
      <c r="G104" s="123"/>
      <c r="H104" s="123"/>
      <c r="I104" s="123"/>
      <c r="J104" s="124"/>
      <c r="K104" s="125"/>
      <c r="L104" s="242"/>
    </row>
    <row r="105" spans="1:12" ht="21">
      <c r="A105" s="408" t="s">
        <v>47</v>
      </c>
      <c r="B105" s="408"/>
      <c r="C105" s="408"/>
      <c r="D105" s="408"/>
      <c r="E105" s="408"/>
      <c r="F105" s="136">
        <f>SUM(F67:F104)</f>
        <v>270200</v>
      </c>
      <c r="G105" s="137">
        <f>SUM(G67:G104)</f>
        <v>753040</v>
      </c>
      <c r="H105" s="137">
        <f>SUM(H67:H104)</f>
        <v>566200</v>
      </c>
      <c r="I105" s="137">
        <f>SUM(I67:I104)</f>
        <v>566200</v>
      </c>
      <c r="J105" s="138">
        <f>SUM(J67:J104)</f>
        <v>2155640</v>
      </c>
      <c r="K105" s="139"/>
      <c r="L105" s="134"/>
    </row>
    <row r="121" spans="1:6" ht="42">
      <c r="A121" s="314" t="s">
        <v>161</v>
      </c>
      <c r="B121" s="314" t="s">
        <v>0</v>
      </c>
      <c r="C121" s="314" t="s">
        <v>160</v>
      </c>
      <c r="D121" s="127" t="s">
        <v>46</v>
      </c>
      <c r="E121" s="314" t="s">
        <v>162</v>
      </c>
    </row>
    <row r="122" spans="1:6" s="315" customFormat="1" ht="21">
      <c r="A122" s="398">
        <v>1</v>
      </c>
      <c r="B122" s="398" t="s">
        <v>360</v>
      </c>
      <c r="C122" s="313" t="s">
        <v>441</v>
      </c>
      <c r="D122" s="316" t="s">
        <v>369</v>
      </c>
      <c r="E122" s="121">
        <v>0</v>
      </c>
    </row>
    <row r="123" spans="1:6" ht="21">
      <c r="A123" s="399"/>
      <c r="B123" s="399"/>
      <c r="C123" s="313" t="s">
        <v>361</v>
      </c>
      <c r="D123" s="313" t="s">
        <v>362</v>
      </c>
      <c r="E123" s="121">
        <v>96</v>
      </c>
      <c r="F123" s="268" t="s">
        <v>210</v>
      </c>
    </row>
    <row r="124" spans="1:6" ht="21" hidden="1">
      <c r="A124" s="243"/>
      <c r="B124" s="243"/>
      <c r="C124" s="313">
        <v>0</v>
      </c>
      <c r="D124" s="313" t="s">
        <v>15</v>
      </c>
      <c r="E124" s="121">
        <v>0</v>
      </c>
    </row>
    <row r="125" spans="1:6" s="315" customFormat="1" ht="21">
      <c r="A125" s="398">
        <v>2</v>
      </c>
      <c r="B125" s="398" t="s">
        <v>357</v>
      </c>
      <c r="C125" s="313" t="s">
        <v>432</v>
      </c>
      <c r="D125" s="313" t="s">
        <v>433</v>
      </c>
      <c r="E125" s="121">
        <v>43.75</v>
      </c>
    </row>
    <row r="126" spans="1:6" ht="21">
      <c r="A126" s="399"/>
      <c r="B126" s="399"/>
      <c r="C126" s="313" t="s">
        <v>358</v>
      </c>
      <c r="D126" s="313" t="s">
        <v>359</v>
      </c>
      <c r="E126" s="121">
        <v>42</v>
      </c>
      <c r="F126" s="268" t="s">
        <v>210</v>
      </c>
    </row>
    <row r="127" spans="1:6" ht="21">
      <c r="A127" s="401">
        <v>3</v>
      </c>
      <c r="B127" s="401" t="s">
        <v>5</v>
      </c>
      <c r="C127" s="313" t="s">
        <v>102</v>
      </c>
      <c r="D127" s="313" t="s">
        <v>23</v>
      </c>
      <c r="E127" s="121">
        <v>96</v>
      </c>
      <c r="F127" s="268" t="s">
        <v>210</v>
      </c>
    </row>
    <row r="128" spans="1:6" ht="21">
      <c r="A128" s="401"/>
      <c r="B128" s="401"/>
      <c r="C128" s="313" t="s">
        <v>117</v>
      </c>
      <c r="D128" s="313" t="s">
        <v>158</v>
      </c>
      <c r="E128" s="121">
        <v>98</v>
      </c>
      <c r="F128" s="268" t="s">
        <v>210</v>
      </c>
    </row>
    <row r="129" spans="1:6" ht="21">
      <c r="A129" s="401"/>
      <c r="B129" s="401"/>
      <c r="C129" s="313" t="s">
        <v>118</v>
      </c>
      <c r="D129" s="313" t="s">
        <v>158</v>
      </c>
      <c r="E129" s="121">
        <v>99</v>
      </c>
      <c r="F129" s="268" t="s">
        <v>210</v>
      </c>
    </row>
    <row r="130" spans="1:6" ht="21">
      <c r="A130" s="401"/>
      <c r="B130" s="401"/>
      <c r="C130" s="313" t="s">
        <v>119</v>
      </c>
      <c r="D130" s="313" t="s">
        <v>158</v>
      </c>
      <c r="E130" s="121">
        <v>147</v>
      </c>
      <c r="F130" s="268" t="s">
        <v>210</v>
      </c>
    </row>
    <row r="131" spans="1:6" ht="21">
      <c r="A131" s="401"/>
      <c r="B131" s="401"/>
      <c r="C131" s="313" t="s">
        <v>120</v>
      </c>
      <c r="D131" s="313" t="s">
        <v>158</v>
      </c>
      <c r="E131" s="121">
        <v>147</v>
      </c>
      <c r="F131" s="268" t="s">
        <v>210</v>
      </c>
    </row>
    <row r="132" spans="1:6" ht="21">
      <c r="A132" s="401"/>
      <c r="B132" s="401"/>
      <c r="C132" s="313" t="s">
        <v>121</v>
      </c>
      <c r="D132" s="313" t="s">
        <v>13</v>
      </c>
      <c r="E132" s="121">
        <v>99</v>
      </c>
      <c r="F132" s="268" t="s">
        <v>210</v>
      </c>
    </row>
    <row r="133" spans="1:6" ht="21">
      <c r="A133" s="401"/>
      <c r="B133" s="401"/>
      <c r="C133" s="313" t="s">
        <v>122</v>
      </c>
      <c r="D133" s="313" t="s">
        <v>158</v>
      </c>
      <c r="E133" s="121">
        <v>192</v>
      </c>
      <c r="F133" s="268" t="s">
        <v>210</v>
      </c>
    </row>
    <row r="134" spans="1:6" ht="21">
      <c r="A134" s="401">
        <v>4</v>
      </c>
      <c r="B134" s="401" t="s">
        <v>4</v>
      </c>
      <c r="C134" s="313" t="s">
        <v>145</v>
      </c>
      <c r="D134" s="313" t="s">
        <v>13</v>
      </c>
      <c r="E134" s="121">
        <v>144</v>
      </c>
      <c r="F134" s="268" t="s">
        <v>210</v>
      </c>
    </row>
    <row r="135" spans="1:6" ht="21">
      <c r="A135" s="401"/>
      <c r="B135" s="401"/>
      <c r="C135" s="313" t="s">
        <v>146</v>
      </c>
      <c r="D135" s="313" t="s">
        <v>17</v>
      </c>
      <c r="E135" s="121">
        <v>96</v>
      </c>
      <c r="F135" s="268" t="s">
        <v>210</v>
      </c>
    </row>
    <row r="136" spans="1:6" ht="21">
      <c r="A136" s="401"/>
      <c r="B136" s="401"/>
      <c r="C136" s="313" t="s">
        <v>147</v>
      </c>
      <c r="D136" s="313" t="s">
        <v>18</v>
      </c>
      <c r="E136" s="121">
        <v>96</v>
      </c>
      <c r="F136" s="268" t="s">
        <v>210</v>
      </c>
    </row>
    <row r="137" spans="1:6" ht="21">
      <c r="A137" s="401"/>
      <c r="B137" s="401"/>
      <c r="C137" s="313" t="s">
        <v>148</v>
      </c>
      <c r="D137" s="313" t="s">
        <v>19</v>
      </c>
      <c r="E137" s="121">
        <v>96</v>
      </c>
      <c r="F137" s="268" t="s">
        <v>210</v>
      </c>
    </row>
    <row r="138" spans="1:6" ht="21">
      <c r="A138" s="401"/>
      <c r="B138" s="401"/>
      <c r="C138" s="313" t="s">
        <v>149</v>
      </c>
      <c r="D138" s="313" t="s">
        <v>20</v>
      </c>
      <c r="E138" s="121">
        <v>118</v>
      </c>
      <c r="F138" s="268" t="s">
        <v>210</v>
      </c>
    </row>
    <row r="139" spans="1:6" ht="21">
      <c r="A139" s="401"/>
      <c r="B139" s="401"/>
      <c r="C139" s="313" t="s">
        <v>150</v>
      </c>
      <c r="D139" s="313" t="s">
        <v>20</v>
      </c>
      <c r="E139" s="121">
        <v>118</v>
      </c>
      <c r="F139" s="268" t="s">
        <v>210</v>
      </c>
    </row>
    <row r="140" spans="1:6" ht="21">
      <c r="A140" s="401"/>
      <c r="B140" s="401"/>
      <c r="C140" s="313" t="s">
        <v>151</v>
      </c>
      <c r="D140" s="313" t="s">
        <v>21</v>
      </c>
      <c r="E140" s="121">
        <v>96</v>
      </c>
      <c r="F140" s="268" t="s">
        <v>210</v>
      </c>
    </row>
    <row r="141" spans="1:6" ht="21">
      <c r="A141" s="401"/>
      <c r="B141" s="401"/>
      <c r="C141" s="313" t="s">
        <v>152</v>
      </c>
      <c r="D141" s="313" t="s">
        <v>12</v>
      </c>
      <c r="E141" s="121">
        <v>96</v>
      </c>
      <c r="F141" s="268" t="s">
        <v>210</v>
      </c>
    </row>
    <row r="142" spans="1:6" ht="21">
      <c r="A142" s="401"/>
      <c r="B142" s="401"/>
      <c r="C142" s="313" t="s">
        <v>153</v>
      </c>
      <c r="D142" s="313" t="s">
        <v>22</v>
      </c>
      <c r="E142" s="121">
        <v>96</v>
      </c>
      <c r="F142" s="268" t="s">
        <v>210</v>
      </c>
    </row>
    <row r="143" spans="1:6" ht="21">
      <c r="A143" s="401"/>
      <c r="B143" s="401"/>
      <c r="C143" s="313" t="s">
        <v>154</v>
      </c>
      <c r="D143" s="313" t="s">
        <v>13</v>
      </c>
      <c r="E143" s="121">
        <v>144</v>
      </c>
      <c r="F143" s="268" t="s">
        <v>210</v>
      </c>
    </row>
    <row r="144" spans="1:6" ht="21">
      <c r="A144" s="401">
        <v>5</v>
      </c>
      <c r="B144" s="401" t="s">
        <v>363</v>
      </c>
      <c r="C144" s="313" t="s">
        <v>364</v>
      </c>
      <c r="D144" s="313" t="s">
        <v>368</v>
      </c>
      <c r="E144" s="121">
        <v>42</v>
      </c>
      <c r="F144" s="268" t="s">
        <v>210</v>
      </c>
    </row>
    <row r="145" spans="1:6" ht="21">
      <c r="A145" s="401"/>
      <c r="B145" s="401"/>
      <c r="C145" s="313" t="s">
        <v>365</v>
      </c>
      <c r="D145" s="313" t="s">
        <v>431</v>
      </c>
      <c r="E145" s="121">
        <v>45.5</v>
      </c>
      <c r="F145" s="268" t="s">
        <v>210</v>
      </c>
    </row>
    <row r="146" spans="1:6" ht="21">
      <c r="A146" s="401"/>
      <c r="B146" s="401"/>
      <c r="C146" s="313" t="s">
        <v>366</v>
      </c>
      <c r="D146" s="313" t="s">
        <v>395</v>
      </c>
      <c r="E146" s="121">
        <v>72</v>
      </c>
      <c r="F146" s="268" t="s">
        <v>210</v>
      </c>
    </row>
    <row r="147" spans="1:6" ht="21">
      <c r="A147" s="401"/>
      <c r="B147" s="401"/>
      <c r="C147" s="313" t="s">
        <v>367</v>
      </c>
      <c r="D147" s="313" t="s">
        <v>369</v>
      </c>
      <c r="E147" s="121">
        <v>0</v>
      </c>
      <c r="F147" s="268" t="s">
        <v>210</v>
      </c>
    </row>
    <row r="148" spans="1:6" ht="21">
      <c r="A148" s="401">
        <v>6</v>
      </c>
      <c r="B148" s="401" t="s">
        <v>53</v>
      </c>
      <c r="C148" s="313" t="s">
        <v>132</v>
      </c>
      <c r="D148" s="313" t="s">
        <v>158</v>
      </c>
      <c r="E148" s="121">
        <v>144</v>
      </c>
      <c r="F148" s="268" t="s">
        <v>210</v>
      </c>
    </row>
    <row r="149" spans="1:6" ht="21">
      <c r="A149" s="401"/>
      <c r="B149" s="401"/>
      <c r="C149" s="313" t="s">
        <v>133</v>
      </c>
      <c r="D149" s="313" t="s">
        <v>26</v>
      </c>
      <c r="E149" s="121">
        <v>98</v>
      </c>
      <c r="F149" s="268" t="s">
        <v>210</v>
      </c>
    </row>
    <row r="150" spans="1:6" ht="21">
      <c r="A150" s="401"/>
      <c r="B150" s="401"/>
      <c r="C150" s="313" t="s">
        <v>134</v>
      </c>
      <c r="D150" s="313" t="s">
        <v>27</v>
      </c>
      <c r="E150" s="121">
        <v>98</v>
      </c>
      <c r="F150" s="268" t="s">
        <v>210</v>
      </c>
    </row>
    <row r="151" spans="1:6" ht="21">
      <c r="A151" s="401"/>
      <c r="B151" s="401"/>
      <c r="C151" s="313" t="s">
        <v>135</v>
      </c>
      <c r="D151" s="313" t="s">
        <v>28</v>
      </c>
      <c r="E151" s="121">
        <v>99</v>
      </c>
      <c r="F151" s="268" t="s">
        <v>210</v>
      </c>
    </row>
    <row r="152" spans="1:6" ht="21">
      <c r="A152" s="401"/>
      <c r="B152" s="401"/>
      <c r="C152" s="313" t="s">
        <v>136</v>
      </c>
      <c r="D152" s="313" t="s">
        <v>29</v>
      </c>
      <c r="E152" s="121">
        <v>96</v>
      </c>
      <c r="F152" s="268" t="s">
        <v>210</v>
      </c>
    </row>
    <row r="153" spans="1:6" ht="21">
      <c r="A153" s="401"/>
      <c r="B153" s="401"/>
      <c r="C153" s="313" t="s">
        <v>137</v>
      </c>
      <c r="D153" s="313" t="s">
        <v>30</v>
      </c>
      <c r="E153" s="121">
        <v>96</v>
      </c>
      <c r="F153" s="268" t="s">
        <v>210</v>
      </c>
    </row>
    <row r="154" spans="1:6" ht="21">
      <c r="A154" s="401"/>
      <c r="B154" s="401"/>
      <c r="C154" s="313" t="s">
        <v>138</v>
      </c>
      <c r="D154" s="313" t="s">
        <v>31</v>
      </c>
      <c r="E154" s="121">
        <v>147</v>
      </c>
      <c r="F154" s="268" t="s">
        <v>210</v>
      </c>
    </row>
    <row r="155" spans="1:6" ht="21">
      <c r="A155" s="401"/>
      <c r="B155" s="401"/>
      <c r="C155" s="313" t="s">
        <v>139</v>
      </c>
      <c r="D155" s="313" t="s">
        <v>158</v>
      </c>
      <c r="E155" s="121">
        <v>147</v>
      </c>
      <c r="F155" s="268" t="s">
        <v>210</v>
      </c>
    </row>
    <row r="156" spans="1:6" ht="21">
      <c r="A156" s="401"/>
      <c r="B156" s="401"/>
      <c r="C156" s="313" t="s">
        <v>140</v>
      </c>
      <c r="D156" s="313" t="s">
        <v>32</v>
      </c>
      <c r="E156" s="121">
        <v>99</v>
      </c>
      <c r="F156" s="268" t="s">
        <v>210</v>
      </c>
    </row>
    <row r="157" spans="1:6" ht="21">
      <c r="A157" s="401"/>
      <c r="B157" s="401"/>
      <c r="C157" s="313" t="s">
        <v>141</v>
      </c>
      <c r="D157" s="313" t="s">
        <v>158</v>
      </c>
      <c r="E157" s="121">
        <v>192</v>
      </c>
      <c r="F157" s="268" t="s">
        <v>210</v>
      </c>
    </row>
    <row r="158" spans="1:6" ht="21">
      <c r="A158" s="401"/>
      <c r="B158" s="401"/>
      <c r="C158" s="313" t="s">
        <v>142</v>
      </c>
      <c r="D158" s="313" t="s">
        <v>13</v>
      </c>
      <c r="E158" s="121">
        <v>96</v>
      </c>
      <c r="F158" s="268" t="s">
        <v>210</v>
      </c>
    </row>
    <row r="159" spans="1:6" ht="21">
      <c r="A159" s="401"/>
      <c r="B159" s="401"/>
      <c r="C159" s="313" t="s">
        <v>143</v>
      </c>
      <c r="D159" s="313" t="s">
        <v>158</v>
      </c>
      <c r="E159" s="121">
        <v>96</v>
      </c>
      <c r="F159" s="268" t="s">
        <v>210</v>
      </c>
    </row>
    <row r="160" spans="1:6" ht="21">
      <c r="A160" s="313">
        <v>7</v>
      </c>
      <c r="B160" s="313" t="s">
        <v>55</v>
      </c>
      <c r="C160" s="313" t="s">
        <v>144</v>
      </c>
      <c r="D160" s="313" t="s">
        <v>33</v>
      </c>
      <c r="E160" s="121">
        <v>96</v>
      </c>
      <c r="F160" s="268" t="s">
        <v>210</v>
      </c>
    </row>
    <row r="161" spans="1:5" ht="21">
      <c r="A161" s="398">
        <v>8</v>
      </c>
      <c r="B161" s="398" t="s">
        <v>370</v>
      </c>
      <c r="C161" s="313" t="s">
        <v>371</v>
      </c>
      <c r="D161" s="313" t="s">
        <v>434</v>
      </c>
      <c r="E161" s="121">
        <v>99</v>
      </c>
    </row>
    <row r="162" spans="1:5" ht="21">
      <c r="A162" s="400"/>
      <c r="B162" s="400"/>
      <c r="C162" s="313" t="s">
        <v>372</v>
      </c>
      <c r="D162" s="313" t="s">
        <v>369</v>
      </c>
      <c r="E162" s="121">
        <v>0</v>
      </c>
    </row>
    <row r="163" spans="1:5" ht="21">
      <c r="A163" s="400"/>
      <c r="B163" s="400"/>
      <c r="C163" s="313" t="s">
        <v>373</v>
      </c>
      <c r="D163" s="313" t="s">
        <v>427</v>
      </c>
      <c r="E163" s="121">
        <v>147</v>
      </c>
    </row>
    <row r="164" spans="1:5" ht="21">
      <c r="A164" s="400"/>
      <c r="B164" s="400"/>
      <c r="C164" s="313" t="s">
        <v>374</v>
      </c>
      <c r="D164" s="313" t="s">
        <v>369</v>
      </c>
      <c r="E164" s="121">
        <v>0</v>
      </c>
    </row>
    <row r="165" spans="1:5" ht="21">
      <c r="A165" s="400"/>
      <c r="B165" s="400"/>
      <c r="C165" s="313" t="s">
        <v>375</v>
      </c>
      <c r="D165" s="313" t="s">
        <v>369</v>
      </c>
      <c r="E165" s="121">
        <v>0</v>
      </c>
    </row>
    <row r="166" spans="1:5" ht="21">
      <c r="A166" s="400"/>
      <c r="B166" s="400"/>
      <c r="C166" s="313" t="s">
        <v>376</v>
      </c>
      <c r="D166" s="313" t="s">
        <v>383</v>
      </c>
      <c r="E166" s="121">
        <v>49.5</v>
      </c>
    </row>
    <row r="167" spans="1:5" ht="21">
      <c r="A167" s="400"/>
      <c r="B167" s="400"/>
      <c r="C167" s="313" t="s">
        <v>377</v>
      </c>
      <c r="D167" s="313" t="s">
        <v>369</v>
      </c>
      <c r="E167" s="121">
        <v>0</v>
      </c>
    </row>
    <row r="168" spans="1:5" ht="21">
      <c r="A168" s="400"/>
      <c r="B168" s="400"/>
      <c r="C168" s="313" t="s">
        <v>378</v>
      </c>
      <c r="D168" s="313" t="s">
        <v>435</v>
      </c>
      <c r="E168" s="121">
        <v>96</v>
      </c>
    </row>
    <row r="169" spans="1:5" ht="21">
      <c r="A169" s="400"/>
      <c r="B169" s="400"/>
      <c r="C169" s="313" t="s">
        <v>379</v>
      </c>
      <c r="D169" s="313" t="s">
        <v>384</v>
      </c>
      <c r="E169" s="121">
        <v>99</v>
      </c>
    </row>
    <row r="170" spans="1:5" ht="21">
      <c r="A170" s="400"/>
      <c r="B170" s="400"/>
      <c r="C170" s="313" t="s">
        <v>380</v>
      </c>
      <c r="D170" s="313" t="s">
        <v>385</v>
      </c>
      <c r="E170" s="121">
        <v>101.06</v>
      </c>
    </row>
    <row r="171" spans="1:5" ht="21">
      <c r="A171" s="400"/>
      <c r="B171" s="400"/>
      <c r="C171" s="313" t="s">
        <v>381</v>
      </c>
      <c r="D171" s="313" t="s">
        <v>369</v>
      </c>
      <c r="E171" s="121">
        <v>0</v>
      </c>
    </row>
    <row r="172" spans="1:5" ht="21">
      <c r="A172" s="400"/>
      <c r="B172" s="400"/>
      <c r="C172" s="313" t="s">
        <v>382</v>
      </c>
      <c r="D172" s="313" t="s">
        <v>428</v>
      </c>
      <c r="E172" s="121">
        <v>49.5</v>
      </c>
    </row>
    <row r="173" spans="1:5" s="315" customFormat="1" ht="21">
      <c r="A173" s="399"/>
      <c r="B173" s="399"/>
      <c r="C173" s="313" t="s">
        <v>430</v>
      </c>
      <c r="D173" s="313" t="s">
        <v>429</v>
      </c>
      <c r="E173" s="121">
        <v>49.5</v>
      </c>
    </row>
    <row r="174" spans="1:5" ht="21">
      <c r="A174" s="313">
        <v>9</v>
      </c>
      <c r="B174" s="313" t="s">
        <v>387</v>
      </c>
      <c r="C174" s="313" t="s">
        <v>112</v>
      </c>
      <c r="D174" s="313" t="s">
        <v>16</v>
      </c>
      <c r="E174" s="121">
        <v>96</v>
      </c>
    </row>
    <row r="175" spans="1:5" ht="21">
      <c r="A175" s="401">
        <v>10</v>
      </c>
      <c r="B175" s="402" t="s">
        <v>386</v>
      </c>
      <c r="C175" s="313" t="s">
        <v>126</v>
      </c>
      <c r="D175" s="313" t="s">
        <v>35</v>
      </c>
      <c r="E175" s="121">
        <v>96</v>
      </c>
    </row>
    <row r="176" spans="1:5" ht="21">
      <c r="A176" s="401"/>
      <c r="B176" s="402"/>
      <c r="C176" s="313" t="s">
        <v>127</v>
      </c>
      <c r="D176" s="313" t="s">
        <v>36</v>
      </c>
      <c r="E176" s="121">
        <v>96</v>
      </c>
    </row>
    <row r="177" spans="1:6" ht="21">
      <c r="A177" s="401"/>
      <c r="B177" s="402"/>
      <c r="C177" s="313" t="s">
        <v>128</v>
      </c>
      <c r="D177" s="313" t="s">
        <v>12</v>
      </c>
      <c r="E177" s="121">
        <v>99</v>
      </c>
    </row>
    <row r="178" spans="1:6" ht="21">
      <c r="A178" s="401"/>
      <c r="B178" s="402"/>
      <c r="C178" s="313" t="s">
        <v>129</v>
      </c>
      <c r="D178" s="313" t="s">
        <v>12</v>
      </c>
      <c r="E178" s="121">
        <v>147</v>
      </c>
    </row>
    <row r="179" spans="1:6" ht="21">
      <c r="A179" s="313">
        <v>11</v>
      </c>
      <c r="B179" s="313" t="s">
        <v>388</v>
      </c>
      <c r="C179" s="313" t="s">
        <v>389</v>
      </c>
      <c r="D179" s="313" t="s">
        <v>390</v>
      </c>
      <c r="E179" s="121">
        <v>96</v>
      </c>
    </row>
    <row r="180" spans="1:6" ht="21">
      <c r="A180" s="401">
        <v>12</v>
      </c>
      <c r="B180" s="402" t="s">
        <v>391</v>
      </c>
      <c r="C180" s="313" t="s">
        <v>115</v>
      </c>
      <c r="D180" s="313" t="s">
        <v>14</v>
      </c>
      <c r="E180" s="121">
        <v>96</v>
      </c>
      <c r="F180" s="268" t="s">
        <v>369</v>
      </c>
    </row>
    <row r="181" spans="1:6" ht="21">
      <c r="A181" s="401"/>
      <c r="B181" s="402"/>
      <c r="C181" s="313" t="s">
        <v>116</v>
      </c>
      <c r="D181" s="313" t="s">
        <v>15</v>
      </c>
      <c r="E181" s="121">
        <v>96</v>
      </c>
    </row>
    <row r="182" spans="1:6" ht="21">
      <c r="A182" s="313">
        <v>13</v>
      </c>
      <c r="B182" s="313" t="s">
        <v>394</v>
      </c>
      <c r="C182" s="313" t="s">
        <v>392</v>
      </c>
      <c r="D182" s="313" t="s">
        <v>393</v>
      </c>
      <c r="E182" s="121">
        <v>99</v>
      </c>
    </row>
    <row r="183" spans="1:6" ht="21">
      <c r="A183" s="398">
        <v>14</v>
      </c>
      <c r="B183" s="398" t="s">
        <v>396</v>
      </c>
      <c r="C183" s="313" t="s">
        <v>397</v>
      </c>
      <c r="D183" s="313" t="s">
        <v>398</v>
      </c>
      <c r="E183" s="121">
        <v>96</v>
      </c>
    </row>
    <row r="184" spans="1:6" s="315" customFormat="1" ht="21">
      <c r="A184" s="399"/>
      <c r="B184" s="399"/>
      <c r="C184" s="313" t="s">
        <v>412</v>
      </c>
      <c r="D184" s="313" t="s">
        <v>411</v>
      </c>
      <c r="E184" s="121">
        <v>96</v>
      </c>
    </row>
    <row r="185" spans="1:6" ht="21">
      <c r="A185" s="313">
        <v>15</v>
      </c>
      <c r="B185" s="313" t="s">
        <v>399</v>
      </c>
      <c r="C185" s="313" t="s">
        <v>400</v>
      </c>
      <c r="D185" s="313" t="s">
        <v>401</v>
      </c>
      <c r="E185" s="121">
        <v>42</v>
      </c>
    </row>
    <row r="186" spans="1:6" ht="21">
      <c r="A186" s="398">
        <v>16</v>
      </c>
      <c r="B186" s="398" t="s">
        <v>402</v>
      </c>
      <c r="C186" s="313" t="s">
        <v>404</v>
      </c>
      <c r="D186" s="313" t="s">
        <v>403</v>
      </c>
      <c r="E186" s="121">
        <v>43.75</v>
      </c>
    </row>
    <row r="187" spans="1:6" s="315" customFormat="1" ht="21">
      <c r="A187" s="400"/>
      <c r="B187" s="400"/>
      <c r="C187" s="313" t="s">
        <v>442</v>
      </c>
      <c r="D187" s="313" t="s">
        <v>369</v>
      </c>
      <c r="E187" s="121">
        <v>0</v>
      </c>
    </row>
    <row r="188" spans="1:6" s="315" customFormat="1" ht="21">
      <c r="A188" s="400"/>
      <c r="B188" s="400"/>
      <c r="C188" s="313" t="s">
        <v>443</v>
      </c>
      <c r="D188" s="313" t="s">
        <v>369</v>
      </c>
      <c r="E188" s="121">
        <v>0</v>
      </c>
    </row>
    <row r="189" spans="1:6" s="315" customFormat="1" ht="21">
      <c r="A189" s="400"/>
      <c r="B189" s="400"/>
      <c r="C189" s="313" t="s">
        <v>444</v>
      </c>
      <c r="D189" s="313" t="s">
        <v>369</v>
      </c>
      <c r="E189" s="121">
        <v>0</v>
      </c>
    </row>
    <row r="190" spans="1:6" s="315" customFormat="1" ht="21">
      <c r="A190" s="400"/>
      <c r="B190" s="400"/>
      <c r="C190" s="313" t="s">
        <v>445</v>
      </c>
      <c r="D190" s="313" t="s">
        <v>369</v>
      </c>
      <c r="E190" s="121">
        <v>0</v>
      </c>
    </row>
    <row r="191" spans="1:6" s="315" customFormat="1" ht="21">
      <c r="A191" s="399"/>
      <c r="B191" s="399"/>
      <c r="C191" s="313" t="s">
        <v>446</v>
      </c>
      <c r="D191" s="313" t="s">
        <v>369</v>
      </c>
      <c r="E191" s="121">
        <v>0</v>
      </c>
    </row>
    <row r="192" spans="1:6" ht="21">
      <c r="A192" s="398">
        <v>17</v>
      </c>
      <c r="B192" s="398" t="s">
        <v>405</v>
      </c>
      <c r="C192" s="313" t="s">
        <v>407</v>
      </c>
      <c r="D192" s="313" t="s">
        <v>406</v>
      </c>
      <c r="E192" s="121">
        <v>119</v>
      </c>
    </row>
    <row r="193" spans="1:5" s="315" customFormat="1" ht="21">
      <c r="A193" s="399"/>
      <c r="B193" s="399"/>
      <c r="C193" s="313" t="s">
        <v>439</v>
      </c>
      <c r="D193" s="313" t="s">
        <v>440</v>
      </c>
      <c r="E193" s="121">
        <v>96</v>
      </c>
    </row>
    <row r="194" spans="1:5" ht="21">
      <c r="A194" s="398">
        <v>18</v>
      </c>
      <c r="B194" s="398" t="s">
        <v>408</v>
      </c>
      <c r="C194" s="313" t="s">
        <v>410</v>
      </c>
      <c r="D194" s="313" t="s">
        <v>409</v>
      </c>
      <c r="E194" s="121">
        <v>96</v>
      </c>
    </row>
    <row r="195" spans="1:5" s="315" customFormat="1" ht="21">
      <c r="A195" s="399"/>
      <c r="B195" s="399"/>
      <c r="C195" s="313" t="s">
        <v>447</v>
      </c>
      <c r="D195" s="313" t="s">
        <v>369</v>
      </c>
      <c r="E195" s="121">
        <v>0</v>
      </c>
    </row>
    <row r="196" spans="1:5" ht="21">
      <c r="A196" s="398">
        <v>19</v>
      </c>
      <c r="B196" s="398" t="s">
        <v>413</v>
      </c>
      <c r="C196" s="313" t="s">
        <v>415</v>
      </c>
      <c r="D196" s="313" t="s">
        <v>414</v>
      </c>
      <c r="E196" s="121">
        <v>96</v>
      </c>
    </row>
    <row r="197" spans="1:5" s="315" customFormat="1" ht="21">
      <c r="A197" s="399"/>
      <c r="B197" s="399"/>
      <c r="C197" s="313" t="s">
        <v>448</v>
      </c>
      <c r="D197" s="313" t="s">
        <v>369</v>
      </c>
      <c r="E197" s="121">
        <v>0</v>
      </c>
    </row>
    <row r="198" spans="1:5" ht="21">
      <c r="A198" s="398">
        <v>20</v>
      </c>
      <c r="B198" s="398" t="s">
        <v>416</v>
      </c>
      <c r="C198" s="313" t="s">
        <v>418</v>
      </c>
      <c r="D198" s="313" t="s">
        <v>417</v>
      </c>
      <c r="E198" s="121">
        <v>49.5</v>
      </c>
    </row>
    <row r="199" spans="1:5" s="315" customFormat="1" ht="21">
      <c r="A199" s="400"/>
      <c r="B199" s="400"/>
      <c r="C199" s="313" t="s">
        <v>449</v>
      </c>
      <c r="D199" s="313" t="s">
        <v>369</v>
      </c>
      <c r="E199" s="121">
        <v>0</v>
      </c>
    </row>
    <row r="200" spans="1:5" s="315" customFormat="1" ht="21">
      <c r="A200" s="400"/>
      <c r="B200" s="400"/>
      <c r="C200" s="313" t="s">
        <v>450</v>
      </c>
      <c r="D200" s="313" t="s">
        <v>369</v>
      </c>
      <c r="E200" s="121">
        <v>0</v>
      </c>
    </row>
    <row r="201" spans="1:5" s="315" customFormat="1" ht="21">
      <c r="A201" s="399"/>
      <c r="B201" s="399"/>
      <c r="C201" s="313" t="s">
        <v>451</v>
      </c>
      <c r="D201" s="313" t="s">
        <v>369</v>
      </c>
      <c r="E201" s="121">
        <v>0</v>
      </c>
    </row>
    <row r="202" spans="1:5" ht="21">
      <c r="A202" s="313">
        <v>21</v>
      </c>
      <c r="B202" s="313" t="s">
        <v>419</v>
      </c>
      <c r="C202" s="313" t="s">
        <v>420</v>
      </c>
      <c r="D202" s="313" t="s">
        <v>411</v>
      </c>
      <c r="E202" s="121">
        <v>96</v>
      </c>
    </row>
    <row r="203" spans="1:5" ht="21">
      <c r="A203" s="313">
        <v>22</v>
      </c>
      <c r="B203" s="313" t="s">
        <v>421</v>
      </c>
      <c r="C203" s="313" t="s">
        <v>423</v>
      </c>
      <c r="D203" s="313" t="s">
        <v>422</v>
      </c>
      <c r="E203" s="121">
        <v>42</v>
      </c>
    </row>
    <row r="204" spans="1:5" ht="21">
      <c r="A204" s="313">
        <v>23</v>
      </c>
      <c r="B204" s="313" t="s">
        <v>424</v>
      </c>
      <c r="C204" s="313" t="s">
        <v>426</v>
      </c>
      <c r="D204" s="313" t="s">
        <v>425</v>
      </c>
      <c r="E204" s="121">
        <v>72</v>
      </c>
    </row>
    <row r="205" spans="1:5" ht="21">
      <c r="A205" s="313">
        <v>24</v>
      </c>
      <c r="B205" s="313" t="s">
        <v>436</v>
      </c>
      <c r="C205" s="313" t="s">
        <v>437</v>
      </c>
      <c r="D205" s="313" t="s">
        <v>438</v>
      </c>
      <c r="E205" s="121">
        <v>147</v>
      </c>
    </row>
  </sheetData>
  <autoFilter ref="A3:K42"/>
  <mergeCells count="58">
    <mergeCell ref="A105:E105"/>
    <mergeCell ref="A77:A86"/>
    <mergeCell ref="B77:B86"/>
    <mergeCell ref="A87:A90"/>
    <mergeCell ref="B87:B90"/>
    <mergeCell ref="A91:A102"/>
    <mergeCell ref="B91:B102"/>
    <mergeCell ref="B64:E64"/>
    <mergeCell ref="A65:L65"/>
    <mergeCell ref="A67:A68"/>
    <mergeCell ref="B67:B68"/>
    <mergeCell ref="A70:A76"/>
    <mergeCell ref="B70:B76"/>
    <mergeCell ref="A4:A5"/>
    <mergeCell ref="B1:E1"/>
    <mergeCell ref="B4:B5"/>
    <mergeCell ref="B7:B13"/>
    <mergeCell ref="A7:A13"/>
    <mergeCell ref="A2:L2"/>
    <mergeCell ref="B14:B23"/>
    <mergeCell ref="B24:B27"/>
    <mergeCell ref="B28:B39"/>
    <mergeCell ref="A58:D58"/>
    <mergeCell ref="A48:J48"/>
    <mergeCell ref="A42:E42"/>
    <mergeCell ref="A14:A23"/>
    <mergeCell ref="A24:A27"/>
    <mergeCell ref="A28:A39"/>
    <mergeCell ref="A122:A123"/>
    <mergeCell ref="B122:B123"/>
    <mergeCell ref="A127:A133"/>
    <mergeCell ref="B127:B133"/>
    <mergeCell ref="A134:A143"/>
    <mergeCell ref="B134:B143"/>
    <mergeCell ref="B125:B126"/>
    <mergeCell ref="A125:A126"/>
    <mergeCell ref="A144:A147"/>
    <mergeCell ref="B144:B147"/>
    <mergeCell ref="A148:A159"/>
    <mergeCell ref="B148:B159"/>
    <mergeCell ref="B161:B173"/>
    <mergeCell ref="A161:A173"/>
    <mergeCell ref="A175:A178"/>
    <mergeCell ref="B175:B178"/>
    <mergeCell ref="A180:A181"/>
    <mergeCell ref="B180:B181"/>
    <mergeCell ref="B183:B184"/>
    <mergeCell ref="B192:B193"/>
    <mergeCell ref="A192:A193"/>
    <mergeCell ref="A183:A184"/>
    <mergeCell ref="B186:B191"/>
    <mergeCell ref="A186:A191"/>
    <mergeCell ref="B194:B195"/>
    <mergeCell ref="A194:A195"/>
    <mergeCell ref="B196:B197"/>
    <mergeCell ref="A196:A197"/>
    <mergeCell ref="B198:B201"/>
    <mergeCell ref="A198:A201"/>
  </mergeCells>
  <conditionalFormatting sqref="C6">
    <cfRule type="duplicateValues" dxfId="541" priority="95"/>
    <cfRule type="duplicateValues" dxfId="540" priority="96"/>
  </conditionalFormatting>
  <conditionalFormatting sqref="C14:C23">
    <cfRule type="duplicateValues" dxfId="539" priority="93"/>
    <cfRule type="duplicateValues" dxfId="538" priority="94"/>
  </conditionalFormatting>
  <conditionalFormatting sqref="C7:C10">
    <cfRule type="duplicateValues" dxfId="537" priority="91"/>
    <cfRule type="duplicateValues" dxfId="536" priority="92"/>
  </conditionalFormatting>
  <conditionalFormatting sqref="C11:C13">
    <cfRule type="duplicateValues" dxfId="535" priority="89"/>
    <cfRule type="duplicateValues" dxfId="534" priority="90"/>
  </conditionalFormatting>
  <conditionalFormatting sqref="C28:C34">
    <cfRule type="duplicateValues" dxfId="533" priority="79"/>
    <cfRule type="duplicateValues" dxfId="532" priority="80"/>
  </conditionalFormatting>
  <conditionalFormatting sqref="C40">
    <cfRule type="duplicateValues" dxfId="531" priority="75"/>
    <cfRule type="duplicateValues" dxfId="530" priority="76"/>
  </conditionalFormatting>
  <conditionalFormatting sqref="C24:C27">
    <cfRule type="duplicateValues" dxfId="529" priority="69"/>
    <cfRule type="duplicateValues" dxfId="528" priority="70"/>
  </conditionalFormatting>
  <conditionalFormatting sqref="C54:C57 C50:C52">
    <cfRule type="duplicateValues" dxfId="527" priority="65"/>
    <cfRule type="duplicateValues" dxfId="526" priority="66"/>
  </conditionalFormatting>
  <conditionalFormatting sqref="C53">
    <cfRule type="duplicateValues" dxfId="525" priority="63"/>
    <cfRule type="duplicateValues" dxfId="524" priority="64"/>
  </conditionalFormatting>
  <conditionalFormatting sqref="C35:C39">
    <cfRule type="duplicateValues" dxfId="523" priority="193"/>
    <cfRule type="duplicateValues" dxfId="522" priority="194"/>
  </conditionalFormatting>
  <conditionalFormatting sqref="C4:C5">
    <cfRule type="duplicateValues" dxfId="521" priority="211"/>
    <cfRule type="duplicateValues" dxfId="520" priority="212"/>
  </conditionalFormatting>
  <conditionalFormatting sqref="C4:C41">
    <cfRule type="duplicateValues" dxfId="519" priority="219"/>
    <cfRule type="duplicateValues" dxfId="518" priority="220"/>
  </conditionalFormatting>
  <conditionalFormatting sqref="C69">
    <cfRule type="duplicateValues" dxfId="517" priority="55"/>
    <cfRule type="duplicateValues" dxfId="516" priority="56"/>
  </conditionalFormatting>
  <conditionalFormatting sqref="C77:C86">
    <cfRule type="duplicateValues" dxfId="515" priority="53"/>
    <cfRule type="duplicateValues" dxfId="514" priority="54"/>
  </conditionalFormatting>
  <conditionalFormatting sqref="C70:C73">
    <cfRule type="duplicateValues" dxfId="513" priority="51"/>
    <cfRule type="duplicateValues" dxfId="512" priority="52"/>
  </conditionalFormatting>
  <conditionalFormatting sqref="C74:C76">
    <cfRule type="duplicateValues" dxfId="511" priority="49"/>
    <cfRule type="duplicateValues" dxfId="510" priority="50"/>
  </conditionalFormatting>
  <conditionalFormatting sqref="C91:C97">
    <cfRule type="duplicateValues" dxfId="509" priority="47"/>
    <cfRule type="duplicateValues" dxfId="508" priority="48"/>
  </conditionalFormatting>
  <conditionalFormatting sqref="C103">
    <cfRule type="duplicateValues" dxfId="507" priority="45"/>
    <cfRule type="duplicateValues" dxfId="506" priority="46"/>
  </conditionalFormatting>
  <conditionalFormatting sqref="C87:C90">
    <cfRule type="duplicateValues" dxfId="505" priority="43"/>
    <cfRule type="duplicateValues" dxfId="504" priority="44"/>
  </conditionalFormatting>
  <conditionalFormatting sqref="C98:C102">
    <cfRule type="duplicateValues" dxfId="503" priority="57"/>
    <cfRule type="duplicateValues" dxfId="502" priority="58"/>
  </conditionalFormatting>
  <conditionalFormatting sqref="C67:C68">
    <cfRule type="duplicateValues" dxfId="501" priority="59"/>
    <cfRule type="duplicateValues" dxfId="500" priority="60"/>
  </conditionalFormatting>
  <conditionalFormatting sqref="C67:C104">
    <cfRule type="duplicateValues" dxfId="499" priority="61"/>
    <cfRule type="duplicateValues" dxfId="498" priority="62"/>
  </conditionalFormatting>
  <conditionalFormatting sqref="C126">
    <cfRule type="duplicateValues" dxfId="497" priority="35"/>
    <cfRule type="duplicateValues" dxfId="496" priority="36"/>
  </conditionalFormatting>
  <conditionalFormatting sqref="C134:C143">
    <cfRule type="duplicateValues" dxfId="495" priority="33"/>
    <cfRule type="duplicateValues" dxfId="494" priority="34"/>
  </conditionalFormatting>
  <conditionalFormatting sqref="C127:C130">
    <cfRule type="duplicateValues" dxfId="493" priority="31"/>
    <cfRule type="duplicateValues" dxfId="492" priority="32"/>
  </conditionalFormatting>
  <conditionalFormatting sqref="C131:C133">
    <cfRule type="duplicateValues" dxfId="491" priority="29"/>
    <cfRule type="duplicateValues" dxfId="490" priority="30"/>
  </conditionalFormatting>
  <conditionalFormatting sqref="C148:C154">
    <cfRule type="duplicateValues" dxfId="489" priority="27"/>
    <cfRule type="duplicateValues" dxfId="488" priority="28"/>
  </conditionalFormatting>
  <conditionalFormatting sqref="C160">
    <cfRule type="duplicateValues" dxfId="487" priority="25"/>
    <cfRule type="duplicateValues" dxfId="486" priority="26"/>
  </conditionalFormatting>
  <conditionalFormatting sqref="C144:C147">
    <cfRule type="duplicateValues" dxfId="485" priority="23"/>
    <cfRule type="duplicateValues" dxfId="484" priority="24"/>
  </conditionalFormatting>
  <conditionalFormatting sqref="C155:C159">
    <cfRule type="duplicateValues" dxfId="483" priority="37"/>
    <cfRule type="duplicateValues" dxfId="482" priority="38"/>
  </conditionalFormatting>
  <conditionalFormatting sqref="C123:C125">
    <cfRule type="duplicateValues" dxfId="481" priority="39"/>
    <cfRule type="duplicateValues" dxfId="480" priority="40"/>
  </conditionalFormatting>
  <conditionalFormatting sqref="C123:C173">
    <cfRule type="duplicateValues" dxfId="479" priority="41"/>
    <cfRule type="duplicateValues" dxfId="478" priority="42"/>
  </conditionalFormatting>
  <conditionalFormatting sqref="C174">
    <cfRule type="duplicateValues" dxfId="477" priority="19"/>
    <cfRule type="duplicateValues" dxfId="476" priority="20"/>
  </conditionalFormatting>
  <conditionalFormatting sqref="C174">
    <cfRule type="duplicateValues" dxfId="475" priority="21"/>
    <cfRule type="duplicateValues" dxfId="474" priority="22"/>
  </conditionalFormatting>
  <conditionalFormatting sqref="C175:C178">
    <cfRule type="duplicateValues" dxfId="473" priority="15"/>
    <cfRule type="duplicateValues" dxfId="472" priority="16"/>
  </conditionalFormatting>
  <conditionalFormatting sqref="C175:C178">
    <cfRule type="duplicateValues" dxfId="471" priority="17"/>
    <cfRule type="duplicateValues" dxfId="470" priority="18"/>
  </conditionalFormatting>
  <conditionalFormatting sqref="C179">
    <cfRule type="duplicateValues" dxfId="469" priority="11"/>
    <cfRule type="duplicateValues" dxfId="468" priority="12"/>
  </conditionalFormatting>
  <conditionalFormatting sqref="C179">
    <cfRule type="duplicateValues" dxfId="467" priority="13"/>
    <cfRule type="duplicateValues" dxfId="466" priority="14"/>
  </conditionalFormatting>
  <conditionalFormatting sqref="C180:C181">
    <cfRule type="duplicateValues" dxfId="465" priority="7"/>
    <cfRule type="duplicateValues" dxfId="464" priority="8"/>
  </conditionalFormatting>
  <conditionalFormatting sqref="C180:C181">
    <cfRule type="duplicateValues" dxfId="463" priority="9"/>
    <cfRule type="duplicateValues" dxfId="462" priority="10"/>
  </conditionalFormatting>
  <conditionalFormatting sqref="C125">
    <cfRule type="duplicateValues" dxfId="461" priority="5"/>
    <cfRule type="duplicateValues" dxfId="460" priority="6"/>
  </conditionalFormatting>
  <conditionalFormatting sqref="C122">
    <cfRule type="duplicateValues" dxfId="459" priority="1"/>
    <cfRule type="duplicateValues" dxfId="458" priority="2"/>
  </conditionalFormatting>
  <conditionalFormatting sqref="C122">
    <cfRule type="duplicateValues" dxfId="457" priority="3"/>
    <cfRule type="duplicateValues" dxfId="456" priority="4"/>
  </conditionalFormatting>
  <pageMargins left="0.25" right="0.25" top="0.75" bottom="0.75" header="0.3" footer="0.3"/>
  <pageSetup paperSize="9" scale="75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E353"/>
  <sheetViews>
    <sheetView tabSelected="1" zoomScaleNormal="100" zoomScaleSheetLayoutView="80" workbookViewId="0">
      <pane ySplit="4" topLeftCell="A224" activePane="bottomLeft" state="frozen"/>
      <selection activeCell="D1" sqref="D1"/>
      <selection pane="bottomLeft" activeCell="N248" sqref="N247:N248"/>
    </sheetView>
  </sheetViews>
  <sheetFormatPr defaultRowHeight="15"/>
  <cols>
    <col min="1" max="1" width="9.140625" style="268"/>
    <col min="2" max="2" width="8.140625" style="268" bestFit="1" customWidth="1"/>
    <col min="3" max="3" width="20.28515625" style="268" bestFit="1" customWidth="1"/>
    <col min="4" max="4" width="12.42578125" style="268" bestFit="1" customWidth="1"/>
    <col min="5" max="5" width="33" style="268" bestFit="1" customWidth="1"/>
    <col min="6" max="6" width="7.7109375" style="268" bestFit="1" customWidth="1"/>
    <col min="7" max="7" width="11.85546875" style="345" customWidth="1"/>
    <col min="8" max="8" width="12.42578125" style="268" customWidth="1"/>
    <col min="9" max="9" width="12.42578125" style="345" customWidth="1"/>
    <col min="10" max="10" width="11.85546875" style="268" customWidth="1"/>
    <col min="11" max="11" width="11.85546875" style="345" customWidth="1"/>
    <col min="12" max="12" width="11.85546875" style="268" customWidth="1"/>
    <col min="13" max="13" width="16" style="268" customWidth="1"/>
    <col min="14" max="14" width="15.5703125" style="268" customWidth="1"/>
    <col min="15" max="17" width="11" style="268" customWidth="1"/>
    <col min="18" max="18" width="10.28515625" style="268" bestFit="1" customWidth="1"/>
    <col min="19" max="19" width="10.28515625" style="268" customWidth="1"/>
    <col min="20" max="20" width="11" style="268" bestFit="1" customWidth="1"/>
    <col min="21" max="22" width="11" style="268" customWidth="1"/>
    <col min="23" max="23" width="10.5703125" style="268" bestFit="1" customWidth="1"/>
    <col min="24" max="24" width="10.5703125" style="268" customWidth="1"/>
    <col min="25" max="25" width="11" style="268" bestFit="1" customWidth="1"/>
    <col min="26" max="27" width="11" style="268" customWidth="1"/>
    <col min="28" max="28" width="10.28515625" style="268" bestFit="1" customWidth="1"/>
    <col min="29" max="29" width="10.28515625" style="268" customWidth="1"/>
    <col min="30" max="30" width="11" style="268" bestFit="1" customWidth="1"/>
    <col min="31" max="31" width="11.140625" style="268" customWidth="1"/>
    <col min="32" max="16384" width="9.140625" style="268"/>
  </cols>
  <sheetData>
    <row r="3" spans="2:31" ht="15.75" customHeight="1">
      <c r="B3" s="416" t="s">
        <v>161</v>
      </c>
      <c r="C3" s="416" t="s">
        <v>0</v>
      </c>
      <c r="D3" s="416" t="s">
        <v>160</v>
      </c>
      <c r="E3" s="415" t="s">
        <v>46</v>
      </c>
      <c r="F3" s="416" t="s">
        <v>162</v>
      </c>
      <c r="G3" s="417" t="s">
        <v>80</v>
      </c>
      <c r="H3" s="418"/>
      <c r="I3" s="418"/>
      <c r="J3" s="418"/>
      <c r="K3" s="419"/>
      <c r="L3" s="417" t="s">
        <v>90</v>
      </c>
      <c r="M3" s="418"/>
      <c r="N3" s="418"/>
      <c r="O3" s="418"/>
      <c r="P3" s="419"/>
      <c r="Q3" s="417" t="s">
        <v>216</v>
      </c>
      <c r="R3" s="418"/>
      <c r="S3" s="418"/>
      <c r="T3" s="418"/>
      <c r="U3" s="419"/>
      <c r="V3" s="417" t="s">
        <v>220</v>
      </c>
      <c r="W3" s="418"/>
      <c r="X3" s="418"/>
      <c r="Y3" s="418"/>
      <c r="Z3" s="418"/>
      <c r="AA3" s="420" t="s">
        <v>221</v>
      </c>
      <c r="AB3" s="420"/>
      <c r="AC3" s="420"/>
      <c r="AD3" s="420"/>
      <c r="AE3" s="420"/>
    </row>
    <row r="4" spans="2:31" ht="15.75">
      <c r="B4" s="416"/>
      <c r="C4" s="416"/>
      <c r="D4" s="416"/>
      <c r="E4" s="415"/>
      <c r="F4" s="416"/>
      <c r="G4" s="341" t="s">
        <v>168</v>
      </c>
      <c r="H4" s="334" t="s">
        <v>307</v>
      </c>
      <c r="I4" s="346" t="s">
        <v>454</v>
      </c>
      <c r="J4" s="335" t="s">
        <v>308</v>
      </c>
      <c r="K4" s="349" t="s">
        <v>455</v>
      </c>
      <c r="L4" s="336" t="s">
        <v>168</v>
      </c>
      <c r="M4" s="334" t="s">
        <v>307</v>
      </c>
      <c r="N4" s="334" t="s">
        <v>454</v>
      </c>
      <c r="O4" s="335" t="s">
        <v>308</v>
      </c>
      <c r="P4" s="335" t="s">
        <v>455</v>
      </c>
      <c r="Q4" s="336" t="s">
        <v>168</v>
      </c>
      <c r="R4" s="334" t="s">
        <v>307</v>
      </c>
      <c r="S4" s="334" t="s">
        <v>454</v>
      </c>
      <c r="T4" s="335" t="s">
        <v>308</v>
      </c>
      <c r="U4" s="335" t="s">
        <v>455</v>
      </c>
      <c r="V4" s="336" t="s">
        <v>168</v>
      </c>
      <c r="W4" s="334" t="s">
        <v>307</v>
      </c>
      <c r="X4" s="334" t="s">
        <v>454</v>
      </c>
      <c r="Y4" s="335" t="s">
        <v>308</v>
      </c>
      <c r="Z4" s="337" t="s">
        <v>455</v>
      </c>
      <c r="AA4" s="336" t="s">
        <v>168</v>
      </c>
      <c r="AB4" s="334" t="s">
        <v>307</v>
      </c>
      <c r="AC4" s="334" t="s">
        <v>454</v>
      </c>
      <c r="AD4" s="335" t="s">
        <v>308</v>
      </c>
      <c r="AE4" s="335" t="s">
        <v>455</v>
      </c>
    </row>
    <row r="5" spans="2:31">
      <c r="B5" s="413">
        <v>1</v>
      </c>
      <c r="C5" s="413" t="s">
        <v>7</v>
      </c>
      <c r="D5" s="317" t="s">
        <v>115</v>
      </c>
      <c r="E5" s="317" t="s">
        <v>14</v>
      </c>
      <c r="F5" s="271">
        <v>96</v>
      </c>
      <c r="G5" s="342"/>
      <c r="H5" s="276">
        <v>33394909</v>
      </c>
      <c r="I5" s="342"/>
      <c r="J5" s="276"/>
      <c r="K5" s="342"/>
      <c r="L5" s="276"/>
      <c r="M5" s="276">
        <v>33394910</v>
      </c>
      <c r="N5" s="276"/>
      <c r="O5" s="276"/>
      <c r="P5" s="276"/>
      <c r="Q5" s="276"/>
      <c r="R5" s="276" t="s">
        <v>311</v>
      </c>
      <c r="S5" s="276"/>
      <c r="T5" s="276" t="s">
        <v>311</v>
      </c>
      <c r="U5" s="276"/>
      <c r="V5" s="276"/>
      <c r="W5" s="276" t="s">
        <v>311</v>
      </c>
      <c r="X5" s="276"/>
      <c r="Y5" s="276" t="s">
        <v>311</v>
      </c>
      <c r="Z5" s="325"/>
      <c r="AA5" s="276"/>
      <c r="AB5" s="276" t="s">
        <v>311</v>
      </c>
      <c r="AC5" s="276"/>
      <c r="AD5" s="276" t="s">
        <v>311</v>
      </c>
      <c r="AE5" s="272"/>
    </row>
    <row r="6" spans="2:31">
      <c r="B6" s="413"/>
      <c r="C6" s="413"/>
      <c r="D6" s="317" t="s">
        <v>116</v>
      </c>
      <c r="E6" s="317" t="s">
        <v>15</v>
      </c>
      <c r="F6" s="271">
        <v>96</v>
      </c>
      <c r="G6" s="342"/>
      <c r="H6" s="276">
        <v>33394911</v>
      </c>
      <c r="I6" s="342"/>
      <c r="J6" s="276"/>
      <c r="K6" s="342"/>
      <c r="L6" s="276"/>
      <c r="M6" s="276">
        <v>33394912</v>
      </c>
      <c r="N6" s="276"/>
      <c r="O6" s="276"/>
      <c r="P6" s="276"/>
      <c r="Q6" s="276"/>
      <c r="R6" s="276" t="s">
        <v>311</v>
      </c>
      <c r="S6" s="276"/>
      <c r="T6" s="276" t="s">
        <v>311</v>
      </c>
      <c r="U6" s="276"/>
      <c r="V6" s="276"/>
      <c r="W6" s="276" t="s">
        <v>311</v>
      </c>
      <c r="X6" s="276"/>
      <c r="Y6" s="276" t="s">
        <v>311</v>
      </c>
      <c r="Z6" s="325"/>
      <c r="AA6" s="276"/>
      <c r="AB6" s="276" t="s">
        <v>311</v>
      </c>
      <c r="AC6" s="276"/>
      <c r="AD6" s="276" t="s">
        <v>311</v>
      </c>
      <c r="AE6" s="272"/>
    </row>
    <row r="7" spans="2:31" ht="15.75">
      <c r="B7" s="317">
        <v>2</v>
      </c>
      <c r="C7" s="317" t="s">
        <v>8</v>
      </c>
      <c r="D7" s="317" t="s">
        <v>112</v>
      </c>
      <c r="E7" s="317" t="s">
        <v>16</v>
      </c>
      <c r="F7" s="271">
        <v>96</v>
      </c>
      <c r="G7" s="342"/>
      <c r="H7" s="276" t="s">
        <v>311</v>
      </c>
      <c r="I7" s="342"/>
      <c r="J7" s="276" t="s">
        <v>311</v>
      </c>
      <c r="K7" s="342"/>
      <c r="L7" s="276"/>
      <c r="M7" s="276">
        <v>33394908</v>
      </c>
      <c r="N7" s="276"/>
      <c r="O7" s="281">
        <v>46208</v>
      </c>
      <c r="P7" s="281"/>
      <c r="Q7" s="281"/>
      <c r="R7" s="276">
        <v>33649747</v>
      </c>
      <c r="S7" s="276"/>
      <c r="T7" s="276" t="s">
        <v>316</v>
      </c>
      <c r="U7" s="276"/>
      <c r="V7" s="276"/>
      <c r="W7" s="324">
        <v>33394946</v>
      </c>
      <c r="X7" s="324"/>
      <c r="Y7" s="281" t="s">
        <v>453</v>
      </c>
      <c r="Z7" s="338"/>
      <c r="AA7" s="281"/>
      <c r="AB7" s="324">
        <v>33394947</v>
      </c>
      <c r="AC7" s="324"/>
      <c r="AD7" s="281" t="s">
        <v>453</v>
      </c>
      <c r="AE7" s="272"/>
    </row>
    <row r="8" spans="2:31">
      <c r="B8" s="413">
        <v>3</v>
      </c>
      <c r="C8" s="413" t="s">
        <v>5</v>
      </c>
      <c r="D8" s="317" t="s">
        <v>102</v>
      </c>
      <c r="E8" s="317" t="s">
        <v>23</v>
      </c>
      <c r="F8" s="271">
        <v>96</v>
      </c>
      <c r="G8" s="342"/>
      <c r="H8" s="276" t="s">
        <v>311</v>
      </c>
      <c r="I8" s="342"/>
      <c r="J8" s="276" t="s">
        <v>311</v>
      </c>
      <c r="K8" s="342"/>
      <c r="L8" s="276"/>
      <c r="M8" s="276">
        <v>33394913</v>
      </c>
      <c r="N8" s="276"/>
      <c r="O8" s="276" t="s">
        <v>310</v>
      </c>
      <c r="P8" s="276"/>
      <c r="Q8" s="276"/>
      <c r="R8" s="281" t="s">
        <v>311</v>
      </c>
      <c r="S8" s="281"/>
      <c r="T8" s="276" t="s">
        <v>311</v>
      </c>
      <c r="U8" s="276"/>
      <c r="V8" s="276"/>
      <c r="W8" s="276" t="s">
        <v>311</v>
      </c>
      <c r="X8" s="276"/>
      <c r="Y8" s="276" t="s">
        <v>311</v>
      </c>
      <c r="Z8" s="325"/>
      <c r="AA8" s="276"/>
      <c r="AB8" s="333" t="s">
        <v>311</v>
      </c>
      <c r="AC8" s="333"/>
      <c r="AD8" s="276" t="s">
        <v>311</v>
      </c>
      <c r="AE8" s="272"/>
    </row>
    <row r="9" spans="2:31">
      <c r="B9" s="413"/>
      <c r="C9" s="413"/>
      <c r="D9" s="317" t="s">
        <v>117</v>
      </c>
      <c r="E9" s="317" t="s">
        <v>158</v>
      </c>
      <c r="F9" s="271">
        <v>98</v>
      </c>
      <c r="G9" s="342"/>
      <c r="H9" s="276" t="s">
        <v>311</v>
      </c>
      <c r="I9" s="342"/>
      <c r="J9" s="276" t="s">
        <v>311</v>
      </c>
      <c r="K9" s="342"/>
      <c r="L9" s="276"/>
      <c r="M9" s="276">
        <v>33649726</v>
      </c>
      <c r="N9" s="279"/>
      <c r="O9" s="331"/>
      <c r="P9" s="331"/>
      <c r="Q9" s="331"/>
      <c r="R9" s="276" t="s">
        <v>311</v>
      </c>
      <c r="S9" s="276"/>
      <c r="T9" s="276" t="s">
        <v>311</v>
      </c>
      <c r="U9" s="276"/>
      <c r="V9" s="276"/>
      <c r="W9" s="276" t="s">
        <v>311</v>
      </c>
      <c r="X9" s="276"/>
      <c r="Y9" s="276" t="s">
        <v>311</v>
      </c>
      <c r="Z9" s="325"/>
      <c r="AA9" s="276"/>
      <c r="AB9" s="333" t="s">
        <v>311</v>
      </c>
      <c r="AC9" s="333"/>
      <c r="AD9" s="276" t="s">
        <v>311</v>
      </c>
      <c r="AE9" s="272"/>
    </row>
    <row r="10" spans="2:31">
      <c r="B10" s="413"/>
      <c r="C10" s="413"/>
      <c r="D10" s="317" t="s">
        <v>118</v>
      </c>
      <c r="E10" s="317" t="s">
        <v>158</v>
      </c>
      <c r="F10" s="271">
        <v>99</v>
      </c>
      <c r="G10" s="342"/>
      <c r="H10" s="276" t="s">
        <v>311</v>
      </c>
      <c r="I10" s="342"/>
      <c r="J10" s="276" t="s">
        <v>311</v>
      </c>
      <c r="K10" s="342"/>
      <c r="L10" s="276"/>
      <c r="M10" s="276">
        <v>33649727</v>
      </c>
      <c r="N10" s="276"/>
      <c r="O10" s="276"/>
      <c r="P10" s="276"/>
      <c r="Q10" s="276"/>
      <c r="R10" s="276" t="s">
        <v>311</v>
      </c>
      <c r="S10" s="276"/>
      <c r="T10" s="276" t="s">
        <v>311</v>
      </c>
      <c r="U10" s="276"/>
      <c r="V10" s="276"/>
      <c r="W10" s="276" t="s">
        <v>311</v>
      </c>
      <c r="X10" s="276"/>
      <c r="Y10" s="276" t="s">
        <v>311</v>
      </c>
      <c r="Z10" s="325"/>
      <c r="AA10" s="276"/>
      <c r="AB10" s="333" t="s">
        <v>311</v>
      </c>
      <c r="AC10" s="333"/>
      <c r="AD10" s="276" t="s">
        <v>311</v>
      </c>
      <c r="AE10" s="272"/>
    </row>
    <row r="11" spans="2:31">
      <c r="B11" s="413"/>
      <c r="C11" s="413"/>
      <c r="D11" s="317" t="s">
        <v>119</v>
      </c>
      <c r="E11" s="317" t="s">
        <v>158</v>
      </c>
      <c r="F11" s="271">
        <v>147</v>
      </c>
      <c r="G11" s="342"/>
      <c r="H11" s="276" t="s">
        <v>311</v>
      </c>
      <c r="I11" s="342"/>
      <c r="J11" s="276" t="s">
        <v>311</v>
      </c>
      <c r="K11" s="342"/>
      <c r="L11" s="276"/>
      <c r="M11" s="276">
        <v>33649728</v>
      </c>
      <c r="N11" s="276"/>
      <c r="O11" s="276"/>
      <c r="P11" s="276"/>
      <c r="Q11" s="276"/>
      <c r="R11" s="276" t="s">
        <v>311</v>
      </c>
      <c r="S11" s="276"/>
      <c r="T11" s="276" t="s">
        <v>311</v>
      </c>
      <c r="U11" s="276"/>
      <c r="V11" s="276"/>
      <c r="W11" s="276" t="s">
        <v>311</v>
      </c>
      <c r="X11" s="276"/>
      <c r="Y11" s="276" t="s">
        <v>311</v>
      </c>
      <c r="Z11" s="325"/>
      <c r="AA11" s="276"/>
      <c r="AB11" s="333" t="s">
        <v>311</v>
      </c>
      <c r="AC11" s="333"/>
      <c r="AD11" s="276" t="s">
        <v>311</v>
      </c>
      <c r="AE11" s="272"/>
    </row>
    <row r="12" spans="2:31">
      <c r="B12" s="413"/>
      <c r="C12" s="413"/>
      <c r="D12" s="317" t="s">
        <v>120</v>
      </c>
      <c r="E12" s="317" t="s">
        <v>158</v>
      </c>
      <c r="F12" s="271">
        <v>147</v>
      </c>
      <c r="G12" s="342"/>
      <c r="H12" s="276" t="s">
        <v>311</v>
      </c>
      <c r="I12" s="342"/>
      <c r="J12" s="276" t="s">
        <v>311</v>
      </c>
      <c r="K12" s="342"/>
      <c r="L12" s="276"/>
      <c r="M12" s="276">
        <v>33649729</v>
      </c>
      <c r="N12" s="276"/>
      <c r="O12" s="276"/>
      <c r="P12" s="276"/>
      <c r="Q12" s="276"/>
      <c r="R12" s="276" t="s">
        <v>311</v>
      </c>
      <c r="S12" s="276"/>
      <c r="T12" s="276" t="s">
        <v>311</v>
      </c>
      <c r="U12" s="276"/>
      <c r="V12" s="276"/>
      <c r="W12" s="276" t="s">
        <v>311</v>
      </c>
      <c r="X12" s="276"/>
      <c r="Y12" s="276" t="s">
        <v>311</v>
      </c>
      <c r="Z12" s="325"/>
      <c r="AA12" s="276"/>
      <c r="AB12" s="333" t="s">
        <v>311</v>
      </c>
      <c r="AC12" s="333"/>
      <c r="AD12" s="276" t="s">
        <v>311</v>
      </c>
      <c r="AE12" s="272"/>
    </row>
    <row r="13" spans="2:31">
      <c r="B13" s="413"/>
      <c r="C13" s="413"/>
      <c r="D13" s="317" t="s">
        <v>121</v>
      </c>
      <c r="E13" s="317" t="s">
        <v>13</v>
      </c>
      <c r="F13" s="271">
        <v>99</v>
      </c>
      <c r="G13" s="342"/>
      <c r="H13" s="276" t="s">
        <v>311</v>
      </c>
      <c r="I13" s="342"/>
      <c r="J13" s="276" t="s">
        <v>311</v>
      </c>
      <c r="K13" s="342"/>
      <c r="L13" s="276"/>
      <c r="M13" s="276">
        <v>33649730</v>
      </c>
      <c r="N13" s="276"/>
      <c r="O13" s="276"/>
      <c r="P13" s="276"/>
      <c r="Q13" s="276"/>
      <c r="R13" s="276" t="s">
        <v>311</v>
      </c>
      <c r="S13" s="276"/>
      <c r="T13" s="276" t="s">
        <v>311</v>
      </c>
      <c r="U13" s="276"/>
      <c r="V13" s="276"/>
      <c r="W13" s="276" t="s">
        <v>311</v>
      </c>
      <c r="X13" s="276"/>
      <c r="Y13" s="276" t="s">
        <v>311</v>
      </c>
      <c r="Z13" s="325"/>
      <c r="AA13" s="276"/>
      <c r="AB13" s="333" t="s">
        <v>311</v>
      </c>
      <c r="AC13" s="333"/>
      <c r="AD13" s="276" t="s">
        <v>311</v>
      </c>
      <c r="AE13" s="272"/>
    </row>
    <row r="14" spans="2:31">
      <c r="B14" s="413"/>
      <c r="C14" s="413"/>
      <c r="D14" s="317" t="s">
        <v>122</v>
      </c>
      <c r="E14" s="317" t="s">
        <v>158</v>
      </c>
      <c r="F14" s="271">
        <v>192</v>
      </c>
      <c r="G14" s="342"/>
      <c r="H14" s="276" t="s">
        <v>311</v>
      </c>
      <c r="I14" s="342"/>
      <c r="J14" s="276" t="s">
        <v>311</v>
      </c>
      <c r="K14" s="342"/>
      <c r="L14" s="276"/>
      <c r="M14" s="276">
        <v>33649731</v>
      </c>
      <c r="N14" s="276"/>
      <c r="O14" s="276"/>
      <c r="P14" s="276"/>
      <c r="Q14" s="276"/>
      <c r="R14" s="276" t="s">
        <v>311</v>
      </c>
      <c r="S14" s="276"/>
      <c r="T14" s="276" t="s">
        <v>311</v>
      </c>
      <c r="U14" s="276"/>
      <c r="V14" s="276"/>
      <c r="W14" s="276" t="s">
        <v>311</v>
      </c>
      <c r="X14" s="276"/>
      <c r="Y14" s="276" t="s">
        <v>311</v>
      </c>
      <c r="Z14" s="325"/>
      <c r="AA14" s="276"/>
      <c r="AB14" s="333" t="s">
        <v>311</v>
      </c>
      <c r="AC14" s="333"/>
      <c r="AD14" s="276" t="s">
        <v>311</v>
      </c>
      <c r="AE14" s="272"/>
    </row>
    <row r="15" spans="2:31">
      <c r="B15" s="413">
        <v>4</v>
      </c>
      <c r="C15" s="413" t="s">
        <v>4</v>
      </c>
      <c r="D15" s="317" t="s">
        <v>145</v>
      </c>
      <c r="E15" s="317" t="s">
        <v>13</v>
      </c>
      <c r="F15" s="271">
        <v>144</v>
      </c>
      <c r="G15" s="342"/>
      <c r="H15" s="276">
        <v>33649732</v>
      </c>
      <c r="I15" s="342"/>
      <c r="J15" s="276"/>
      <c r="K15" s="342"/>
      <c r="L15" s="276"/>
      <c r="M15" s="276">
        <v>33649733</v>
      </c>
      <c r="N15" s="276"/>
      <c r="O15" s="276"/>
      <c r="P15" s="276"/>
      <c r="Q15" s="276"/>
      <c r="R15" s="276" t="s">
        <v>311</v>
      </c>
      <c r="S15" s="276"/>
      <c r="T15" s="276" t="s">
        <v>311</v>
      </c>
      <c r="U15" s="276"/>
      <c r="V15" s="276"/>
      <c r="W15" s="276" t="s">
        <v>311</v>
      </c>
      <c r="X15" s="276"/>
      <c r="Y15" s="276" t="s">
        <v>311</v>
      </c>
      <c r="Z15" s="325"/>
      <c r="AA15" s="276"/>
      <c r="AB15" s="333" t="s">
        <v>311</v>
      </c>
      <c r="AC15" s="333"/>
      <c r="AD15" s="276" t="s">
        <v>311</v>
      </c>
      <c r="AE15" s="272"/>
    </row>
    <row r="16" spans="2:31" ht="15.75">
      <c r="B16" s="413"/>
      <c r="C16" s="413"/>
      <c r="D16" s="317" t="s">
        <v>146</v>
      </c>
      <c r="E16" s="317" t="s">
        <v>17</v>
      </c>
      <c r="F16" s="271">
        <v>96</v>
      </c>
      <c r="G16" s="342"/>
      <c r="H16" s="276">
        <v>33394914</v>
      </c>
      <c r="I16" s="342"/>
      <c r="J16" s="276"/>
      <c r="K16" s="342"/>
      <c r="L16" s="276"/>
      <c r="M16" s="276">
        <v>33394915</v>
      </c>
      <c r="N16" s="276"/>
      <c r="O16" s="276"/>
      <c r="P16" s="276"/>
      <c r="Q16" s="276"/>
      <c r="R16" s="276">
        <v>33649748</v>
      </c>
      <c r="S16" s="276"/>
      <c r="T16" s="276"/>
      <c r="U16" s="276"/>
      <c r="V16" s="276"/>
      <c r="W16" s="324">
        <v>33649770</v>
      </c>
      <c r="X16" s="324"/>
      <c r="Y16" s="276"/>
      <c r="Z16" s="325"/>
      <c r="AA16" s="276"/>
      <c r="AB16" s="324">
        <v>33649785</v>
      </c>
      <c r="AC16" s="324"/>
      <c r="AD16" s="276"/>
      <c r="AE16" s="272"/>
    </row>
    <row r="17" spans="2:31" ht="15.75">
      <c r="B17" s="413"/>
      <c r="C17" s="413"/>
      <c r="D17" s="317" t="s">
        <v>147</v>
      </c>
      <c r="E17" s="317" t="s">
        <v>18</v>
      </c>
      <c r="F17" s="271">
        <v>96</v>
      </c>
      <c r="G17" s="342"/>
      <c r="H17" s="276">
        <v>33394916</v>
      </c>
      <c r="I17" s="342"/>
      <c r="J17" s="276"/>
      <c r="K17" s="342"/>
      <c r="L17" s="276"/>
      <c r="M17" s="276">
        <v>33394917</v>
      </c>
      <c r="N17" s="276"/>
      <c r="O17" s="276"/>
      <c r="P17" s="276"/>
      <c r="Q17" s="276"/>
      <c r="R17" s="276">
        <v>33649749</v>
      </c>
      <c r="S17" s="276"/>
      <c r="T17" s="276"/>
      <c r="U17" s="276"/>
      <c r="V17" s="276"/>
      <c r="W17" s="324">
        <v>33649769</v>
      </c>
      <c r="X17" s="324"/>
      <c r="Y17" s="276"/>
      <c r="Z17" s="325"/>
      <c r="AA17" s="276"/>
      <c r="AB17" s="324">
        <v>33649786</v>
      </c>
      <c r="AC17" s="324"/>
      <c r="AD17" s="276"/>
      <c r="AE17" s="272"/>
    </row>
    <row r="18" spans="2:31" ht="15.75">
      <c r="B18" s="413"/>
      <c r="C18" s="413"/>
      <c r="D18" s="317" t="s">
        <v>148</v>
      </c>
      <c r="E18" s="317" t="s">
        <v>19</v>
      </c>
      <c r="F18" s="271">
        <v>96</v>
      </c>
      <c r="G18" s="342"/>
      <c r="H18" s="276">
        <v>33394926</v>
      </c>
      <c r="I18" s="342"/>
      <c r="J18" s="276"/>
      <c r="K18" s="342"/>
      <c r="L18" s="276"/>
      <c r="M18" s="276">
        <v>33394927</v>
      </c>
      <c r="N18" s="276"/>
      <c r="O18" s="276"/>
      <c r="P18" s="276"/>
      <c r="Q18" s="276"/>
      <c r="R18" s="276">
        <v>33649750</v>
      </c>
      <c r="S18" s="276"/>
      <c r="T18" s="276"/>
      <c r="U18" s="276"/>
      <c r="V18" s="276"/>
      <c r="W18" s="324">
        <v>33649771</v>
      </c>
      <c r="X18" s="324"/>
      <c r="Y18" s="276"/>
      <c r="Z18" s="325"/>
      <c r="AA18" s="276"/>
      <c r="AB18" s="324">
        <v>33649787</v>
      </c>
      <c r="AC18" s="324"/>
      <c r="AD18" s="276"/>
      <c r="AE18" s="272"/>
    </row>
    <row r="19" spans="2:31" ht="15.75">
      <c r="B19" s="413"/>
      <c r="C19" s="413"/>
      <c r="D19" s="317" t="s">
        <v>149</v>
      </c>
      <c r="E19" s="317" t="s">
        <v>20</v>
      </c>
      <c r="F19" s="271">
        <v>118</v>
      </c>
      <c r="G19" s="342"/>
      <c r="H19" s="276">
        <v>33394918</v>
      </c>
      <c r="I19" s="342"/>
      <c r="J19" s="276"/>
      <c r="K19" s="342"/>
      <c r="L19" s="276"/>
      <c r="M19" s="276">
        <v>33394919</v>
      </c>
      <c r="N19" s="276"/>
      <c r="O19" s="276"/>
      <c r="P19" s="276"/>
      <c r="Q19" s="276"/>
      <c r="R19" s="276">
        <v>33649751</v>
      </c>
      <c r="S19" s="276"/>
      <c r="T19" s="276"/>
      <c r="U19" s="276"/>
      <c r="V19" s="276"/>
      <c r="W19" s="324">
        <v>33649772</v>
      </c>
      <c r="X19" s="324"/>
      <c r="Y19" s="276"/>
      <c r="Z19" s="325"/>
      <c r="AA19" s="276"/>
      <c r="AB19" s="324">
        <v>33649788</v>
      </c>
      <c r="AC19" s="324"/>
      <c r="AD19" s="276"/>
      <c r="AE19" s="272"/>
    </row>
    <row r="20" spans="2:31" ht="15.75">
      <c r="B20" s="413"/>
      <c r="C20" s="413"/>
      <c r="D20" s="317" t="s">
        <v>150</v>
      </c>
      <c r="E20" s="317" t="s">
        <v>20</v>
      </c>
      <c r="F20" s="271">
        <v>118</v>
      </c>
      <c r="G20" s="342"/>
      <c r="H20" s="276">
        <v>33394920</v>
      </c>
      <c r="I20" s="342"/>
      <c r="J20" s="276"/>
      <c r="K20" s="342"/>
      <c r="L20" s="276"/>
      <c r="M20" s="276">
        <v>33394921</v>
      </c>
      <c r="N20" s="276"/>
      <c r="O20" s="276"/>
      <c r="P20" s="276"/>
      <c r="Q20" s="276"/>
      <c r="R20" s="276">
        <v>33649752</v>
      </c>
      <c r="S20" s="276"/>
      <c r="T20" s="276"/>
      <c r="U20" s="276"/>
      <c r="V20" s="276"/>
      <c r="W20" s="324">
        <v>33649773</v>
      </c>
      <c r="X20" s="324"/>
      <c r="Y20" s="276"/>
      <c r="Z20" s="325"/>
      <c r="AA20" s="276"/>
      <c r="AB20" s="324">
        <v>33649789</v>
      </c>
      <c r="AC20" s="324"/>
      <c r="AD20" s="276"/>
      <c r="AE20" s="272"/>
    </row>
    <row r="21" spans="2:31" ht="15.75">
      <c r="B21" s="413"/>
      <c r="C21" s="413"/>
      <c r="D21" s="317" t="s">
        <v>151</v>
      </c>
      <c r="E21" s="317" t="s">
        <v>21</v>
      </c>
      <c r="F21" s="271">
        <v>96</v>
      </c>
      <c r="G21" s="342"/>
      <c r="H21" s="276">
        <v>33394923</v>
      </c>
      <c r="I21" s="342"/>
      <c r="J21" s="276" t="s">
        <v>310</v>
      </c>
      <c r="K21" s="342"/>
      <c r="L21" s="276"/>
      <c r="M21" s="276" t="s">
        <v>318</v>
      </c>
      <c r="N21" s="276"/>
      <c r="O21" s="276" t="s">
        <v>310</v>
      </c>
      <c r="P21" s="276"/>
      <c r="Q21" s="276"/>
      <c r="R21" s="276">
        <v>33649753</v>
      </c>
      <c r="S21" s="276"/>
      <c r="T21" s="276" t="s">
        <v>314</v>
      </c>
      <c r="U21" s="276"/>
      <c r="V21" s="276"/>
      <c r="W21" s="324">
        <v>33649774</v>
      </c>
      <c r="X21" s="324"/>
      <c r="Y21" s="281" t="s">
        <v>452</v>
      </c>
      <c r="Z21" s="338"/>
      <c r="AA21" s="281"/>
      <c r="AB21" s="324">
        <v>33649790</v>
      </c>
      <c r="AC21" s="324"/>
      <c r="AD21" s="276" t="s">
        <v>452</v>
      </c>
      <c r="AE21" s="272"/>
    </row>
    <row r="22" spans="2:31">
      <c r="B22" s="413"/>
      <c r="C22" s="413"/>
      <c r="D22" s="317" t="s">
        <v>152</v>
      </c>
      <c r="E22" s="317" t="s">
        <v>12</v>
      </c>
      <c r="F22" s="271">
        <v>96</v>
      </c>
      <c r="G22" s="342"/>
      <c r="H22" s="276">
        <v>33649734</v>
      </c>
      <c r="I22" s="342"/>
      <c r="J22" s="276"/>
      <c r="K22" s="342"/>
      <c r="L22" s="276"/>
      <c r="M22" s="276">
        <v>33649735</v>
      </c>
      <c r="N22" s="276"/>
      <c r="O22" s="276"/>
      <c r="P22" s="276"/>
      <c r="Q22" s="276"/>
      <c r="R22" s="276" t="s">
        <v>311</v>
      </c>
      <c r="S22" s="276"/>
      <c r="T22" s="276" t="s">
        <v>311</v>
      </c>
      <c r="U22" s="279"/>
      <c r="V22" s="279"/>
      <c r="W22" s="331" t="s">
        <v>311</v>
      </c>
      <c r="X22" s="331"/>
      <c r="Y22" s="276" t="s">
        <v>311</v>
      </c>
      <c r="Z22" s="279"/>
      <c r="AA22" s="276"/>
      <c r="AB22" s="333" t="s">
        <v>311</v>
      </c>
      <c r="AC22" s="333"/>
      <c r="AD22" s="276" t="s">
        <v>311</v>
      </c>
      <c r="AE22" s="272"/>
    </row>
    <row r="23" spans="2:31" ht="15.75">
      <c r="B23" s="413"/>
      <c r="C23" s="413"/>
      <c r="D23" s="317" t="s">
        <v>153</v>
      </c>
      <c r="E23" s="317" t="s">
        <v>22</v>
      </c>
      <c r="F23" s="271">
        <v>96</v>
      </c>
      <c r="G23" s="342"/>
      <c r="H23" s="276">
        <v>33394924</v>
      </c>
      <c r="I23" s="342"/>
      <c r="J23" s="276"/>
      <c r="K23" s="342"/>
      <c r="L23" s="276"/>
      <c r="M23" s="276">
        <v>33394925</v>
      </c>
      <c r="N23" s="276"/>
      <c r="O23" s="276"/>
      <c r="P23" s="276"/>
      <c r="Q23" s="276"/>
      <c r="R23" s="276">
        <v>33649754</v>
      </c>
      <c r="S23" s="276"/>
      <c r="T23" s="276"/>
      <c r="U23" s="276"/>
      <c r="V23" s="276"/>
      <c r="W23" s="324">
        <v>33649775</v>
      </c>
      <c r="X23" s="324"/>
      <c r="Y23" s="276"/>
      <c r="Z23" s="325"/>
      <c r="AA23" s="276"/>
      <c r="AB23" s="324">
        <v>33649791</v>
      </c>
      <c r="AC23" s="324"/>
      <c r="AD23" s="276"/>
      <c r="AE23" s="272"/>
    </row>
    <row r="24" spans="2:31">
      <c r="B24" s="413"/>
      <c r="C24" s="413"/>
      <c r="D24" s="317" t="s">
        <v>154</v>
      </c>
      <c r="E24" s="317" t="s">
        <v>13</v>
      </c>
      <c r="F24" s="271">
        <v>144</v>
      </c>
      <c r="G24" s="342"/>
      <c r="H24" s="276">
        <v>33649736</v>
      </c>
      <c r="I24" s="342"/>
      <c r="J24" s="276"/>
      <c r="K24" s="342"/>
      <c r="L24" s="276"/>
      <c r="M24" s="276">
        <v>33649737</v>
      </c>
      <c r="N24" s="276"/>
      <c r="O24" s="276"/>
      <c r="P24" s="276"/>
      <c r="Q24" s="276"/>
      <c r="R24" s="276" t="s">
        <v>311</v>
      </c>
      <c r="S24" s="276"/>
      <c r="T24" s="276" t="s">
        <v>311</v>
      </c>
      <c r="U24" s="279"/>
      <c r="V24" s="279"/>
      <c r="W24" s="331" t="s">
        <v>311</v>
      </c>
      <c r="X24" s="331"/>
      <c r="Y24" s="276" t="s">
        <v>311</v>
      </c>
      <c r="Z24" s="279"/>
      <c r="AA24" s="276"/>
      <c r="AB24" s="333" t="s">
        <v>311</v>
      </c>
      <c r="AC24" s="333"/>
      <c r="AD24" s="276" t="s">
        <v>311</v>
      </c>
      <c r="AE24" s="272"/>
    </row>
    <row r="25" spans="2:31" ht="15.75">
      <c r="B25" s="413">
        <v>5</v>
      </c>
      <c r="C25" s="413" t="s">
        <v>34</v>
      </c>
      <c r="D25" s="317" t="s">
        <v>126</v>
      </c>
      <c r="E25" s="317" t="s">
        <v>35</v>
      </c>
      <c r="F25" s="271">
        <v>96</v>
      </c>
      <c r="G25" s="342"/>
      <c r="H25" s="276">
        <v>33394928</v>
      </c>
      <c r="I25" s="342"/>
      <c r="J25" s="276"/>
      <c r="K25" s="342"/>
      <c r="L25" s="276"/>
      <c r="M25" s="276">
        <v>33394929</v>
      </c>
      <c r="N25" s="276"/>
      <c r="O25" s="276"/>
      <c r="P25" s="276"/>
      <c r="Q25" s="276"/>
      <c r="R25" s="276">
        <v>33649763</v>
      </c>
      <c r="S25" s="276"/>
      <c r="T25" s="276"/>
      <c r="U25" s="276"/>
      <c r="V25" s="276"/>
      <c r="W25" s="324">
        <v>33649783</v>
      </c>
      <c r="X25" s="324"/>
      <c r="Y25" s="276"/>
      <c r="Z25" s="325"/>
      <c r="AA25" s="276"/>
      <c r="AB25" s="324">
        <v>33649798</v>
      </c>
      <c r="AC25" s="324"/>
      <c r="AD25" s="276"/>
      <c r="AE25" s="272"/>
    </row>
    <row r="26" spans="2:31" ht="15.75">
      <c r="B26" s="413"/>
      <c r="C26" s="413"/>
      <c r="D26" s="317" t="s">
        <v>127</v>
      </c>
      <c r="E26" s="317" t="s">
        <v>36</v>
      </c>
      <c r="F26" s="271">
        <v>96</v>
      </c>
      <c r="G26" s="342"/>
      <c r="H26" s="276">
        <v>33394930</v>
      </c>
      <c r="I26" s="342"/>
      <c r="J26" s="276"/>
      <c r="K26" s="342"/>
      <c r="L26" s="276"/>
      <c r="M26" s="276">
        <v>33394931</v>
      </c>
      <c r="N26" s="276"/>
      <c r="O26" s="276"/>
      <c r="P26" s="276"/>
      <c r="Q26" s="276"/>
      <c r="R26" s="276">
        <v>33649764</v>
      </c>
      <c r="S26" s="276"/>
      <c r="T26" s="276"/>
      <c r="U26" s="276"/>
      <c r="V26" s="276"/>
      <c r="W26" s="324">
        <v>33649784</v>
      </c>
      <c r="X26" s="324"/>
      <c r="Y26" s="276"/>
      <c r="Z26" s="325"/>
      <c r="AA26" s="276"/>
      <c r="AB26" s="324">
        <v>33649799</v>
      </c>
      <c r="AC26" s="324"/>
      <c r="AD26" s="276"/>
      <c r="AE26" s="272"/>
    </row>
    <row r="27" spans="2:31">
      <c r="B27" s="413"/>
      <c r="C27" s="413"/>
      <c r="D27" s="317" t="s">
        <v>128</v>
      </c>
      <c r="E27" s="317" t="s">
        <v>12</v>
      </c>
      <c r="F27" s="271">
        <v>99</v>
      </c>
      <c r="G27" s="342"/>
      <c r="H27" s="276">
        <v>33649738</v>
      </c>
      <c r="I27" s="342"/>
      <c r="J27" s="276"/>
      <c r="K27" s="342"/>
      <c r="L27" s="276"/>
      <c r="M27" s="276">
        <v>33649739</v>
      </c>
      <c r="N27" s="276"/>
      <c r="O27" s="276"/>
      <c r="P27" s="276"/>
      <c r="Q27" s="276"/>
      <c r="R27" s="276" t="s">
        <v>311</v>
      </c>
      <c r="S27" s="276"/>
      <c r="T27" s="276" t="s">
        <v>311</v>
      </c>
      <c r="U27" s="276"/>
      <c r="V27" s="276"/>
      <c r="W27" s="276" t="s">
        <v>311</v>
      </c>
      <c r="X27" s="276"/>
      <c r="Y27" s="276" t="s">
        <v>311</v>
      </c>
      <c r="Z27" s="325"/>
      <c r="AA27" s="276"/>
      <c r="AB27" s="276" t="s">
        <v>311</v>
      </c>
      <c r="AC27" s="276"/>
      <c r="AD27" s="276" t="s">
        <v>311</v>
      </c>
      <c r="AE27" s="272"/>
    </row>
    <row r="28" spans="2:31">
      <c r="B28" s="413"/>
      <c r="C28" s="413"/>
      <c r="D28" s="317" t="s">
        <v>129</v>
      </c>
      <c r="E28" s="317" t="s">
        <v>12</v>
      </c>
      <c r="F28" s="271">
        <v>147</v>
      </c>
      <c r="G28" s="342"/>
      <c r="H28" s="276">
        <v>33649740</v>
      </c>
      <c r="I28" s="342"/>
      <c r="J28" s="276"/>
      <c r="K28" s="342"/>
      <c r="L28" s="276"/>
      <c r="M28" s="276">
        <v>33649741</v>
      </c>
      <c r="N28" s="276"/>
      <c r="O28" s="276"/>
      <c r="P28" s="276"/>
      <c r="Q28" s="276"/>
      <c r="R28" s="276" t="s">
        <v>311</v>
      </c>
      <c r="S28" s="276"/>
      <c r="T28" s="276" t="s">
        <v>311</v>
      </c>
      <c r="U28" s="276"/>
      <c r="V28" s="276"/>
      <c r="W28" s="276" t="s">
        <v>311</v>
      </c>
      <c r="X28" s="276"/>
      <c r="Y28" s="276" t="s">
        <v>311</v>
      </c>
      <c r="Z28" s="325"/>
      <c r="AA28" s="276"/>
      <c r="AB28" s="276" t="s">
        <v>311</v>
      </c>
      <c r="AC28" s="276"/>
      <c r="AD28" s="276" t="s">
        <v>311</v>
      </c>
      <c r="AE28" s="272"/>
    </row>
    <row r="29" spans="2:31">
      <c r="B29" s="413">
        <v>6</v>
      </c>
      <c r="C29" s="413" t="s">
        <v>53</v>
      </c>
      <c r="D29" s="317" t="s">
        <v>132</v>
      </c>
      <c r="E29" s="317" t="s">
        <v>158</v>
      </c>
      <c r="F29" s="271">
        <v>144</v>
      </c>
      <c r="G29" s="342"/>
      <c r="H29" s="276" t="s">
        <v>311</v>
      </c>
      <c r="I29" s="342"/>
      <c r="J29" s="276" t="s">
        <v>311</v>
      </c>
      <c r="K29" s="342"/>
      <c r="L29" s="276"/>
      <c r="M29" s="276">
        <v>33649742</v>
      </c>
      <c r="N29" s="276"/>
      <c r="O29" s="276"/>
      <c r="P29" s="276"/>
      <c r="Q29" s="276"/>
      <c r="R29" s="276" t="s">
        <v>311</v>
      </c>
      <c r="S29" s="276"/>
      <c r="T29" s="276" t="s">
        <v>311</v>
      </c>
      <c r="U29" s="276"/>
      <c r="V29" s="276"/>
      <c r="W29" s="276" t="s">
        <v>311</v>
      </c>
      <c r="X29" s="276"/>
      <c r="Y29" s="276" t="s">
        <v>311</v>
      </c>
      <c r="Z29" s="325"/>
      <c r="AA29" s="276"/>
      <c r="AB29" s="276" t="s">
        <v>311</v>
      </c>
      <c r="AC29" s="276"/>
      <c r="AD29" s="276" t="s">
        <v>311</v>
      </c>
      <c r="AE29" s="272"/>
    </row>
    <row r="30" spans="2:31" ht="15.75">
      <c r="B30" s="413"/>
      <c r="C30" s="413"/>
      <c r="D30" s="317" t="s">
        <v>133</v>
      </c>
      <c r="E30" s="317" t="s">
        <v>26</v>
      </c>
      <c r="F30" s="271">
        <v>98</v>
      </c>
      <c r="G30" s="342"/>
      <c r="H30" s="276" t="s">
        <v>311</v>
      </c>
      <c r="I30" s="342"/>
      <c r="J30" s="276" t="s">
        <v>311</v>
      </c>
      <c r="K30" s="344"/>
      <c r="L30" s="325"/>
      <c r="M30" s="325">
        <v>33394932</v>
      </c>
      <c r="N30" s="325"/>
      <c r="O30" s="276" t="s">
        <v>354</v>
      </c>
      <c r="P30" s="276"/>
      <c r="Q30" s="276"/>
      <c r="R30" s="276">
        <v>33649755</v>
      </c>
      <c r="S30" s="276"/>
      <c r="T30" s="276" t="s">
        <v>354</v>
      </c>
      <c r="U30" s="276"/>
      <c r="V30" s="276"/>
      <c r="W30" s="324">
        <v>33649776</v>
      </c>
      <c r="X30" s="324"/>
      <c r="Y30" s="276"/>
      <c r="Z30" s="325"/>
      <c r="AA30" s="276"/>
      <c r="AB30" s="324">
        <v>33649792</v>
      </c>
      <c r="AC30" s="324"/>
      <c r="AD30" s="276"/>
      <c r="AE30" s="272"/>
    </row>
    <row r="31" spans="2:31" ht="15.75">
      <c r="B31" s="413"/>
      <c r="C31" s="413"/>
      <c r="D31" s="317" t="s">
        <v>134</v>
      </c>
      <c r="E31" s="317" t="s">
        <v>27</v>
      </c>
      <c r="F31" s="271">
        <v>98</v>
      </c>
      <c r="G31" s="342"/>
      <c r="H31" s="276" t="s">
        <v>311</v>
      </c>
      <c r="I31" s="342"/>
      <c r="J31" s="276" t="s">
        <v>311</v>
      </c>
      <c r="K31" s="344"/>
      <c r="L31" s="325"/>
      <c r="M31" s="325">
        <v>33394933</v>
      </c>
      <c r="N31" s="325"/>
      <c r="O31" s="276"/>
      <c r="P31" s="276"/>
      <c r="Q31" s="276"/>
      <c r="R31" s="276">
        <v>33649756</v>
      </c>
      <c r="S31" s="276"/>
      <c r="T31" s="276"/>
      <c r="U31" s="276"/>
      <c r="V31" s="276"/>
      <c r="W31" s="324">
        <v>33649777</v>
      </c>
      <c r="X31" s="324"/>
      <c r="Y31" s="276"/>
      <c r="Z31" s="325"/>
      <c r="AA31" s="276"/>
      <c r="AB31" s="324">
        <v>33649793</v>
      </c>
      <c r="AC31" s="324"/>
      <c r="AD31" s="276"/>
      <c r="AE31" s="272"/>
    </row>
    <row r="32" spans="2:31" ht="15.75">
      <c r="B32" s="413"/>
      <c r="C32" s="413"/>
      <c r="D32" s="317" t="s">
        <v>135</v>
      </c>
      <c r="E32" s="317" t="s">
        <v>28</v>
      </c>
      <c r="F32" s="271">
        <v>99</v>
      </c>
      <c r="G32" s="342"/>
      <c r="H32" s="276" t="s">
        <v>311</v>
      </c>
      <c r="I32" s="342"/>
      <c r="J32" s="276" t="s">
        <v>311</v>
      </c>
      <c r="K32" s="344"/>
      <c r="L32" s="325"/>
      <c r="M32" s="325">
        <v>33394934</v>
      </c>
      <c r="N32" s="325"/>
      <c r="O32" s="276" t="s">
        <v>313</v>
      </c>
      <c r="P32" s="276"/>
      <c r="Q32" s="276"/>
      <c r="R32" s="276">
        <v>33649757</v>
      </c>
      <c r="S32" s="276"/>
      <c r="T32" s="281">
        <v>46271</v>
      </c>
      <c r="U32" s="281"/>
      <c r="V32" s="281"/>
      <c r="W32" s="324">
        <v>33649778</v>
      </c>
      <c r="X32" s="324"/>
      <c r="Y32" s="281">
        <v>46088</v>
      </c>
      <c r="Z32" s="338"/>
      <c r="AA32" s="281"/>
      <c r="AB32" s="324">
        <v>33649794</v>
      </c>
      <c r="AC32" s="324"/>
      <c r="AD32" s="281">
        <v>46088</v>
      </c>
      <c r="AE32" s="272"/>
    </row>
    <row r="33" spans="2:31" ht="15.75">
      <c r="B33" s="413"/>
      <c r="C33" s="413"/>
      <c r="D33" s="317" t="s">
        <v>136</v>
      </c>
      <c r="E33" s="317" t="s">
        <v>475</v>
      </c>
      <c r="F33" s="271">
        <v>96</v>
      </c>
      <c r="G33" s="342"/>
      <c r="H33" s="276" t="s">
        <v>311</v>
      </c>
      <c r="I33" s="342"/>
      <c r="J33" s="276" t="s">
        <v>311</v>
      </c>
      <c r="K33" s="344"/>
      <c r="L33" s="325"/>
      <c r="M33" s="325">
        <v>33649765</v>
      </c>
      <c r="N33" s="325"/>
      <c r="O33" s="281">
        <v>46271</v>
      </c>
      <c r="P33" s="281"/>
      <c r="Q33" s="281"/>
      <c r="R33" s="276">
        <v>33649758</v>
      </c>
      <c r="S33" s="276"/>
      <c r="T33" s="281">
        <v>46271</v>
      </c>
      <c r="U33" s="281"/>
      <c r="V33" s="281"/>
      <c r="W33" s="324">
        <v>33649800</v>
      </c>
      <c r="X33" s="324"/>
      <c r="Y33" s="281">
        <v>46088</v>
      </c>
      <c r="Z33" s="338"/>
      <c r="AA33" s="281"/>
      <c r="AB33" s="324">
        <v>33649801</v>
      </c>
      <c r="AC33" s="324"/>
      <c r="AD33" s="281">
        <v>46088</v>
      </c>
      <c r="AE33" s="272"/>
    </row>
    <row r="34" spans="2:31" ht="15.75">
      <c r="B34" s="413"/>
      <c r="C34" s="413"/>
      <c r="D34" s="317" t="s">
        <v>137</v>
      </c>
      <c r="E34" s="317" t="s">
        <v>30</v>
      </c>
      <c r="F34" s="271">
        <v>96</v>
      </c>
      <c r="G34" s="342"/>
      <c r="H34" s="276" t="s">
        <v>311</v>
      </c>
      <c r="I34" s="342"/>
      <c r="J34" s="276" t="s">
        <v>311</v>
      </c>
      <c r="K34" s="344"/>
      <c r="L34" s="325"/>
      <c r="M34" s="325">
        <v>33394936</v>
      </c>
      <c r="N34" s="325"/>
      <c r="O34" s="276" t="s">
        <v>309</v>
      </c>
      <c r="P34" s="276"/>
      <c r="Q34" s="276"/>
      <c r="R34" s="276">
        <v>33649759</v>
      </c>
      <c r="S34" s="276"/>
      <c r="T34" s="276" t="s">
        <v>313</v>
      </c>
      <c r="U34" s="276"/>
      <c r="V34" s="276"/>
      <c r="W34" s="324">
        <v>33649780</v>
      </c>
      <c r="X34" s="324"/>
      <c r="Y34" s="281">
        <v>46060</v>
      </c>
      <c r="Z34" s="338"/>
      <c r="AA34" s="281"/>
      <c r="AB34" s="324">
        <v>33649795</v>
      </c>
      <c r="AC34" s="324"/>
      <c r="AD34" s="281">
        <v>46060</v>
      </c>
      <c r="AE34" s="272"/>
    </row>
    <row r="35" spans="2:31" ht="15.75">
      <c r="B35" s="413"/>
      <c r="C35" s="413"/>
      <c r="D35" s="317" t="s">
        <v>138</v>
      </c>
      <c r="E35" s="317" t="s">
        <v>31</v>
      </c>
      <c r="F35" s="271">
        <v>147</v>
      </c>
      <c r="G35" s="342"/>
      <c r="H35" s="276" t="s">
        <v>311</v>
      </c>
      <c r="I35" s="342"/>
      <c r="J35" s="276" t="s">
        <v>311</v>
      </c>
      <c r="K35" s="344"/>
      <c r="L35" s="325"/>
      <c r="M35" s="325">
        <v>33394937</v>
      </c>
      <c r="N35" s="325"/>
      <c r="O35" s="276"/>
      <c r="P35" s="276"/>
      <c r="Q35" s="276"/>
      <c r="R35" s="276">
        <v>33649760</v>
      </c>
      <c r="S35" s="276"/>
      <c r="T35" s="276"/>
      <c r="U35" s="276"/>
      <c r="V35" s="276"/>
      <c r="W35" s="324">
        <v>33649781</v>
      </c>
      <c r="X35" s="324"/>
      <c r="Y35" s="276"/>
      <c r="Z35" s="325"/>
      <c r="AA35" s="276"/>
      <c r="AB35" s="324">
        <v>33649796</v>
      </c>
      <c r="AC35" s="324"/>
      <c r="AD35" s="276"/>
      <c r="AE35" s="272"/>
    </row>
    <row r="36" spans="2:31">
      <c r="B36" s="413"/>
      <c r="C36" s="413"/>
      <c r="D36" s="317" t="s">
        <v>139</v>
      </c>
      <c r="E36" s="317" t="s">
        <v>158</v>
      </c>
      <c r="F36" s="271">
        <v>147</v>
      </c>
      <c r="G36" s="342"/>
      <c r="H36" s="276" t="s">
        <v>311</v>
      </c>
      <c r="I36" s="342"/>
      <c r="J36" s="276" t="s">
        <v>311</v>
      </c>
      <c r="K36" s="344"/>
      <c r="L36" s="325"/>
      <c r="M36" s="325">
        <v>33649743</v>
      </c>
      <c r="N36" s="325"/>
      <c r="O36" s="276"/>
      <c r="P36" s="276"/>
      <c r="Q36" s="276"/>
      <c r="R36" s="276" t="s">
        <v>311</v>
      </c>
      <c r="S36" s="276"/>
      <c r="T36" s="276" t="s">
        <v>311</v>
      </c>
      <c r="U36" s="276"/>
      <c r="V36" s="276"/>
      <c r="W36" s="333" t="s">
        <v>311</v>
      </c>
      <c r="X36" s="333"/>
      <c r="Y36" s="276" t="s">
        <v>311</v>
      </c>
      <c r="Z36" s="325"/>
      <c r="AA36" s="276"/>
      <c r="AB36" s="333" t="s">
        <v>311</v>
      </c>
      <c r="AC36" s="333"/>
      <c r="AD36" s="276" t="s">
        <v>311</v>
      </c>
      <c r="AE36" s="272"/>
    </row>
    <row r="37" spans="2:31" ht="15.75">
      <c r="B37" s="413"/>
      <c r="C37" s="413"/>
      <c r="D37" s="317" t="s">
        <v>140</v>
      </c>
      <c r="E37" s="317" t="s">
        <v>32</v>
      </c>
      <c r="F37" s="271">
        <v>99</v>
      </c>
      <c r="G37" s="342"/>
      <c r="H37" s="276" t="s">
        <v>311</v>
      </c>
      <c r="I37" s="342"/>
      <c r="J37" s="276" t="s">
        <v>311</v>
      </c>
      <c r="K37" s="344"/>
      <c r="L37" s="325"/>
      <c r="M37" s="325">
        <v>33394938</v>
      </c>
      <c r="N37" s="325"/>
      <c r="O37" s="276"/>
      <c r="P37" s="276"/>
      <c r="Q37" s="276"/>
      <c r="R37" s="276">
        <v>33649761</v>
      </c>
      <c r="S37" s="276"/>
      <c r="T37" s="276"/>
      <c r="U37" s="276"/>
      <c r="V37" s="276"/>
      <c r="W37" s="324">
        <v>33649782</v>
      </c>
      <c r="X37" s="324"/>
      <c r="Y37" s="276"/>
      <c r="Z37" s="325"/>
      <c r="AA37" s="276"/>
      <c r="AB37" s="324">
        <v>33649797</v>
      </c>
      <c r="AC37" s="324"/>
      <c r="AD37" s="276"/>
      <c r="AE37" s="272"/>
    </row>
    <row r="38" spans="2:31">
      <c r="B38" s="413"/>
      <c r="C38" s="413"/>
      <c r="D38" s="317" t="s">
        <v>141</v>
      </c>
      <c r="E38" s="317" t="s">
        <v>158</v>
      </c>
      <c r="F38" s="271">
        <v>192</v>
      </c>
      <c r="G38" s="342"/>
      <c r="H38" s="276" t="s">
        <v>311</v>
      </c>
      <c r="I38" s="342"/>
      <c r="J38" s="276" t="s">
        <v>311</v>
      </c>
      <c r="K38" s="344"/>
      <c r="L38" s="325"/>
      <c r="M38" s="325">
        <v>33649744</v>
      </c>
      <c r="N38" s="325"/>
      <c r="O38" s="276"/>
      <c r="P38" s="276"/>
      <c r="Q38" s="276"/>
      <c r="R38" s="276" t="s">
        <v>311</v>
      </c>
      <c r="S38" s="276"/>
      <c r="T38" s="276" t="s">
        <v>311</v>
      </c>
      <c r="U38" s="276"/>
      <c r="V38" s="276"/>
      <c r="W38" s="333" t="s">
        <v>311</v>
      </c>
      <c r="X38" s="333"/>
      <c r="Y38" s="276" t="s">
        <v>311</v>
      </c>
      <c r="Z38" s="325"/>
      <c r="AA38" s="276"/>
      <c r="AB38" s="333" t="s">
        <v>311</v>
      </c>
      <c r="AC38" s="333"/>
      <c r="AD38" s="276" t="s">
        <v>311</v>
      </c>
      <c r="AE38" s="272"/>
    </row>
    <row r="39" spans="2:31">
      <c r="B39" s="413"/>
      <c r="C39" s="413"/>
      <c r="D39" s="317" t="s">
        <v>142</v>
      </c>
      <c r="E39" s="317" t="s">
        <v>13</v>
      </c>
      <c r="F39" s="271">
        <v>96</v>
      </c>
      <c r="G39" s="342"/>
      <c r="H39" s="276" t="s">
        <v>311</v>
      </c>
      <c r="I39" s="342"/>
      <c r="J39" s="276" t="s">
        <v>311</v>
      </c>
      <c r="K39" s="344"/>
      <c r="L39" s="325"/>
      <c r="M39" s="325">
        <v>33649745</v>
      </c>
      <c r="N39" s="325"/>
      <c r="O39" s="276"/>
      <c r="P39" s="276"/>
      <c r="Q39" s="276"/>
      <c r="R39" s="276" t="s">
        <v>311</v>
      </c>
      <c r="S39" s="276"/>
      <c r="T39" s="276" t="s">
        <v>311</v>
      </c>
      <c r="U39" s="276"/>
      <c r="V39" s="276"/>
      <c r="W39" s="333" t="s">
        <v>311</v>
      </c>
      <c r="X39" s="333"/>
      <c r="Y39" s="276" t="s">
        <v>311</v>
      </c>
      <c r="Z39" s="325"/>
      <c r="AA39" s="276"/>
      <c r="AB39" s="333" t="s">
        <v>311</v>
      </c>
      <c r="AC39" s="333"/>
      <c r="AD39" s="276" t="s">
        <v>311</v>
      </c>
      <c r="AE39" s="272"/>
    </row>
    <row r="40" spans="2:31">
      <c r="B40" s="413"/>
      <c r="C40" s="413"/>
      <c r="D40" s="317" t="s">
        <v>143</v>
      </c>
      <c r="E40" s="317" t="s">
        <v>158</v>
      </c>
      <c r="F40" s="271">
        <v>96</v>
      </c>
      <c r="G40" s="342"/>
      <c r="H40" s="276" t="s">
        <v>311</v>
      </c>
      <c r="I40" s="342"/>
      <c r="J40" s="276" t="s">
        <v>311</v>
      </c>
      <c r="K40" s="344"/>
      <c r="L40" s="325"/>
      <c r="M40" s="325">
        <v>33649746</v>
      </c>
      <c r="N40" s="325"/>
      <c r="O40" s="276"/>
      <c r="P40" s="276"/>
      <c r="Q40" s="276"/>
      <c r="R40" s="276" t="s">
        <v>311</v>
      </c>
      <c r="S40" s="276"/>
      <c r="T40" s="276" t="s">
        <v>311</v>
      </c>
      <c r="U40" s="276"/>
      <c r="V40" s="276"/>
      <c r="W40" s="276" t="s">
        <v>311</v>
      </c>
      <c r="X40" s="276"/>
      <c r="Y40" s="276" t="s">
        <v>311</v>
      </c>
      <c r="Z40" s="325"/>
      <c r="AA40" s="276"/>
      <c r="AB40" s="276" t="s">
        <v>311</v>
      </c>
      <c r="AC40" s="276"/>
      <c r="AD40" s="276" t="s">
        <v>311</v>
      </c>
      <c r="AE40" s="272"/>
    </row>
    <row r="41" spans="2:31">
      <c r="B41" s="317">
        <v>7</v>
      </c>
      <c r="C41" s="317" t="s">
        <v>55</v>
      </c>
      <c r="D41" s="317" t="s">
        <v>144</v>
      </c>
      <c r="E41" s="317" t="s">
        <v>33</v>
      </c>
      <c r="F41" s="271">
        <v>96</v>
      </c>
      <c r="G41" s="342"/>
      <c r="H41" s="276" t="s">
        <v>311</v>
      </c>
      <c r="I41" s="342"/>
      <c r="J41" s="276" t="s">
        <v>311</v>
      </c>
      <c r="K41" s="344"/>
      <c r="L41" s="325"/>
      <c r="M41" s="325">
        <v>33394907</v>
      </c>
      <c r="N41" s="325"/>
      <c r="O41" s="276" t="s">
        <v>312</v>
      </c>
      <c r="P41" s="276"/>
      <c r="Q41" s="276"/>
      <c r="R41" s="276">
        <v>33649762</v>
      </c>
      <c r="S41" s="276"/>
      <c r="T41" s="276" t="s">
        <v>315</v>
      </c>
      <c r="U41" s="276"/>
      <c r="V41" s="276"/>
      <c r="W41" s="276"/>
      <c r="X41" s="276"/>
      <c r="Y41" s="276"/>
      <c r="Z41" s="325"/>
      <c r="AA41" s="276"/>
      <c r="AB41" s="276"/>
      <c r="AC41" s="276"/>
      <c r="AD41" s="276"/>
      <c r="AE41" s="272"/>
    </row>
    <row r="42" spans="2:31">
      <c r="B42" s="273"/>
      <c r="C42" s="273"/>
      <c r="D42" s="273"/>
      <c r="E42" s="273"/>
      <c r="F42" s="274"/>
      <c r="G42" s="343"/>
      <c r="H42" s="277"/>
      <c r="I42" s="343"/>
      <c r="J42" s="277"/>
      <c r="K42" s="343"/>
      <c r="L42" s="277"/>
      <c r="M42" s="277"/>
      <c r="N42" s="277"/>
      <c r="O42" s="327"/>
      <c r="P42" s="327"/>
      <c r="Q42" s="327"/>
      <c r="R42" s="327"/>
      <c r="S42" s="327"/>
      <c r="T42" s="327"/>
      <c r="U42" s="327"/>
      <c r="V42" s="327"/>
      <c r="W42" s="327"/>
      <c r="X42" s="327"/>
      <c r="Y42" s="327"/>
      <c r="Z42" s="339"/>
      <c r="AA42" s="327"/>
      <c r="AB42" s="327"/>
      <c r="AC42" s="327"/>
      <c r="AD42" s="327"/>
      <c r="AE42" s="272"/>
    </row>
    <row r="43" spans="2:31">
      <c r="B43" s="413" t="s">
        <v>47</v>
      </c>
      <c r="C43" s="413"/>
      <c r="D43" s="413"/>
      <c r="E43" s="413"/>
      <c r="F43" s="413"/>
      <c r="G43" s="342"/>
      <c r="H43" s="327">
        <v>0</v>
      </c>
      <c r="I43" s="342"/>
      <c r="J43" s="327"/>
      <c r="K43" s="342"/>
      <c r="L43" s="327"/>
      <c r="M43" s="327">
        <v>0</v>
      </c>
      <c r="N43" s="327"/>
      <c r="O43" s="327"/>
      <c r="P43" s="327"/>
      <c r="Q43" s="327"/>
      <c r="R43" s="327">
        <v>0</v>
      </c>
      <c r="S43" s="327"/>
      <c r="T43" s="327"/>
      <c r="U43" s="327"/>
      <c r="V43" s="327"/>
      <c r="W43" s="327">
        <f>SUM(W5:W42)</f>
        <v>571791391</v>
      </c>
      <c r="X43" s="327"/>
      <c r="Y43" s="327"/>
      <c r="Z43" s="339"/>
      <c r="AA43" s="327"/>
      <c r="AB43" s="327"/>
      <c r="AC43" s="327"/>
      <c r="AD43" s="327"/>
      <c r="AE43" s="272"/>
    </row>
    <row r="47" spans="2:31" ht="21">
      <c r="B47" s="414" t="s">
        <v>80</v>
      </c>
      <c r="C47" s="414"/>
      <c r="D47" s="414"/>
      <c r="E47" s="414"/>
      <c r="F47" s="414"/>
      <c r="G47" s="414"/>
      <c r="H47" s="414"/>
      <c r="I47" s="414"/>
      <c r="J47" s="414"/>
      <c r="K47" s="414"/>
    </row>
    <row r="48" spans="2:31" ht="15" customHeight="1">
      <c r="B48" s="336" t="s">
        <v>161</v>
      </c>
      <c r="C48" s="336" t="s">
        <v>0</v>
      </c>
      <c r="D48" s="336" t="s">
        <v>160</v>
      </c>
      <c r="E48" s="340" t="s">
        <v>46</v>
      </c>
      <c r="F48" s="336" t="s">
        <v>162</v>
      </c>
      <c r="G48" s="341" t="s">
        <v>168</v>
      </c>
      <c r="H48" s="334" t="s">
        <v>307</v>
      </c>
      <c r="I48" s="346" t="s">
        <v>454</v>
      </c>
      <c r="J48" s="335" t="s">
        <v>308</v>
      </c>
      <c r="K48" s="349" t="s">
        <v>455</v>
      </c>
    </row>
    <row r="49" spans="2:11">
      <c r="B49" s="413">
        <v>1</v>
      </c>
      <c r="C49" s="413" t="s">
        <v>7</v>
      </c>
      <c r="D49" s="317" t="s">
        <v>115</v>
      </c>
      <c r="E49" s="317" t="s">
        <v>14</v>
      </c>
      <c r="F49" s="271">
        <v>96</v>
      </c>
      <c r="G49" s="342">
        <v>14400</v>
      </c>
      <c r="H49" s="276">
        <v>33394909</v>
      </c>
      <c r="I49" s="342"/>
      <c r="J49" s="276"/>
      <c r="K49" s="342">
        <f>G49-I49</f>
        <v>14400</v>
      </c>
    </row>
    <row r="50" spans="2:11">
      <c r="B50" s="413"/>
      <c r="C50" s="413"/>
      <c r="D50" s="317" t="s">
        <v>116</v>
      </c>
      <c r="E50" s="317" t="s">
        <v>15</v>
      </c>
      <c r="F50" s="271">
        <v>96</v>
      </c>
      <c r="G50" s="342">
        <v>14400</v>
      </c>
      <c r="H50" s="276">
        <v>33394911</v>
      </c>
      <c r="I50" s="342"/>
      <c r="J50" s="276"/>
      <c r="K50" s="342">
        <f t="shared" ref="K50:K85" si="0">G50-I50</f>
        <v>14400</v>
      </c>
    </row>
    <row r="51" spans="2:11">
      <c r="B51" s="317">
        <v>2</v>
      </c>
      <c r="C51" s="317" t="s">
        <v>8</v>
      </c>
      <c r="D51" s="317" t="s">
        <v>112</v>
      </c>
      <c r="E51" s="317" t="s">
        <v>16</v>
      </c>
      <c r="F51" s="271">
        <v>96</v>
      </c>
      <c r="G51" s="342">
        <v>0</v>
      </c>
      <c r="H51" s="276" t="s">
        <v>311</v>
      </c>
      <c r="I51" s="342"/>
      <c r="J51" s="276" t="s">
        <v>311</v>
      </c>
      <c r="K51" s="342">
        <f t="shared" si="0"/>
        <v>0</v>
      </c>
    </row>
    <row r="52" spans="2:11">
      <c r="B52" s="413">
        <v>3</v>
      </c>
      <c r="C52" s="413" t="s">
        <v>5</v>
      </c>
      <c r="D52" s="317" t="s">
        <v>102</v>
      </c>
      <c r="E52" s="317" t="s">
        <v>23</v>
      </c>
      <c r="F52" s="271">
        <v>96</v>
      </c>
      <c r="G52" s="342">
        <v>0</v>
      </c>
      <c r="H52" s="276" t="s">
        <v>311</v>
      </c>
      <c r="I52" s="342"/>
      <c r="J52" s="276" t="s">
        <v>311</v>
      </c>
      <c r="K52" s="342">
        <f t="shared" si="0"/>
        <v>0</v>
      </c>
    </row>
    <row r="53" spans="2:11">
      <c r="B53" s="413"/>
      <c r="C53" s="413"/>
      <c r="D53" s="317" t="s">
        <v>117</v>
      </c>
      <c r="E53" s="317" t="s">
        <v>158</v>
      </c>
      <c r="F53" s="271">
        <v>98</v>
      </c>
      <c r="G53" s="342">
        <v>0</v>
      </c>
      <c r="H53" s="276" t="s">
        <v>311</v>
      </c>
      <c r="I53" s="342"/>
      <c r="J53" s="276" t="s">
        <v>311</v>
      </c>
      <c r="K53" s="342">
        <f t="shared" si="0"/>
        <v>0</v>
      </c>
    </row>
    <row r="54" spans="2:11">
      <c r="B54" s="413"/>
      <c r="C54" s="413"/>
      <c r="D54" s="317" t="s">
        <v>118</v>
      </c>
      <c r="E54" s="317" t="s">
        <v>158</v>
      </c>
      <c r="F54" s="271">
        <v>99</v>
      </c>
      <c r="G54" s="342">
        <v>0</v>
      </c>
      <c r="H54" s="276" t="s">
        <v>311</v>
      </c>
      <c r="I54" s="342"/>
      <c r="J54" s="276" t="s">
        <v>311</v>
      </c>
      <c r="K54" s="342">
        <f t="shared" si="0"/>
        <v>0</v>
      </c>
    </row>
    <row r="55" spans="2:11">
      <c r="B55" s="413"/>
      <c r="C55" s="413"/>
      <c r="D55" s="317" t="s">
        <v>119</v>
      </c>
      <c r="E55" s="317" t="s">
        <v>158</v>
      </c>
      <c r="F55" s="271">
        <v>147</v>
      </c>
      <c r="G55" s="342">
        <v>0</v>
      </c>
      <c r="H55" s="276" t="s">
        <v>311</v>
      </c>
      <c r="I55" s="342"/>
      <c r="J55" s="276" t="s">
        <v>311</v>
      </c>
      <c r="K55" s="342">
        <f t="shared" si="0"/>
        <v>0</v>
      </c>
    </row>
    <row r="56" spans="2:11">
      <c r="B56" s="413"/>
      <c r="C56" s="413"/>
      <c r="D56" s="317" t="s">
        <v>120</v>
      </c>
      <c r="E56" s="317" t="s">
        <v>158</v>
      </c>
      <c r="F56" s="271">
        <v>147</v>
      </c>
      <c r="G56" s="342">
        <v>0</v>
      </c>
      <c r="H56" s="276" t="s">
        <v>311</v>
      </c>
      <c r="I56" s="342"/>
      <c r="J56" s="276" t="s">
        <v>311</v>
      </c>
      <c r="K56" s="342">
        <f t="shared" si="0"/>
        <v>0</v>
      </c>
    </row>
    <row r="57" spans="2:11">
      <c r="B57" s="413"/>
      <c r="C57" s="413"/>
      <c r="D57" s="317" t="s">
        <v>121</v>
      </c>
      <c r="E57" s="317" t="s">
        <v>13</v>
      </c>
      <c r="F57" s="271">
        <v>99</v>
      </c>
      <c r="G57" s="342">
        <v>0</v>
      </c>
      <c r="H57" s="276" t="s">
        <v>311</v>
      </c>
      <c r="I57" s="342"/>
      <c r="J57" s="276" t="s">
        <v>311</v>
      </c>
      <c r="K57" s="342">
        <f t="shared" si="0"/>
        <v>0</v>
      </c>
    </row>
    <row r="58" spans="2:11">
      <c r="B58" s="413"/>
      <c r="C58" s="413"/>
      <c r="D58" s="317" t="s">
        <v>122</v>
      </c>
      <c r="E58" s="317" t="s">
        <v>158</v>
      </c>
      <c r="F58" s="271">
        <v>192</v>
      </c>
      <c r="G58" s="342">
        <v>0</v>
      </c>
      <c r="H58" s="276" t="s">
        <v>311</v>
      </c>
      <c r="I58" s="342"/>
      <c r="J58" s="276" t="s">
        <v>311</v>
      </c>
      <c r="K58" s="342">
        <f t="shared" si="0"/>
        <v>0</v>
      </c>
    </row>
    <row r="59" spans="2:11">
      <c r="B59" s="413">
        <v>4</v>
      </c>
      <c r="C59" s="413" t="s">
        <v>4</v>
      </c>
      <c r="D59" s="317" t="s">
        <v>145</v>
      </c>
      <c r="E59" s="317" t="s">
        <v>13</v>
      </c>
      <c r="F59" s="271">
        <v>144</v>
      </c>
      <c r="G59" s="342">
        <v>14400</v>
      </c>
      <c r="H59" s="276">
        <v>33649732</v>
      </c>
      <c r="I59" s="342"/>
      <c r="J59" s="276"/>
      <c r="K59" s="342">
        <f t="shared" si="0"/>
        <v>14400</v>
      </c>
    </row>
    <row r="60" spans="2:11">
      <c r="B60" s="413"/>
      <c r="C60" s="413"/>
      <c r="D60" s="317" t="s">
        <v>146</v>
      </c>
      <c r="E60" s="317" t="s">
        <v>17</v>
      </c>
      <c r="F60" s="271">
        <v>96</v>
      </c>
      <c r="G60" s="342">
        <v>9600</v>
      </c>
      <c r="H60" s="276">
        <v>33394914</v>
      </c>
      <c r="I60" s="342"/>
      <c r="J60" s="276"/>
      <c r="K60" s="342">
        <f t="shared" si="0"/>
        <v>9600</v>
      </c>
    </row>
    <row r="61" spans="2:11">
      <c r="B61" s="413"/>
      <c r="C61" s="413"/>
      <c r="D61" s="317" t="s">
        <v>147</v>
      </c>
      <c r="E61" s="317" t="s">
        <v>18</v>
      </c>
      <c r="F61" s="271">
        <v>96</v>
      </c>
      <c r="G61" s="342">
        <v>9600</v>
      </c>
      <c r="H61" s="276">
        <v>33394916</v>
      </c>
      <c r="I61" s="342"/>
      <c r="J61" s="276"/>
      <c r="K61" s="342">
        <f t="shared" si="0"/>
        <v>9600</v>
      </c>
    </row>
    <row r="62" spans="2:11">
      <c r="B62" s="413"/>
      <c r="C62" s="413"/>
      <c r="D62" s="317" t="s">
        <v>148</v>
      </c>
      <c r="E62" s="317" t="s">
        <v>19</v>
      </c>
      <c r="F62" s="271">
        <v>96</v>
      </c>
      <c r="G62" s="342">
        <v>9600</v>
      </c>
      <c r="H62" s="276">
        <v>33394926</v>
      </c>
      <c r="I62" s="342"/>
      <c r="J62" s="276"/>
      <c r="K62" s="342">
        <f t="shared" si="0"/>
        <v>9600</v>
      </c>
    </row>
    <row r="63" spans="2:11">
      <c r="B63" s="413"/>
      <c r="C63" s="413"/>
      <c r="D63" s="317" t="s">
        <v>149</v>
      </c>
      <c r="E63" s="317" t="s">
        <v>20</v>
      </c>
      <c r="F63" s="271">
        <v>118</v>
      </c>
      <c r="G63" s="342">
        <v>11800</v>
      </c>
      <c r="H63" s="276">
        <v>33394918</v>
      </c>
      <c r="I63" s="342"/>
      <c r="J63" s="276"/>
      <c r="K63" s="342">
        <f t="shared" si="0"/>
        <v>11800</v>
      </c>
    </row>
    <row r="64" spans="2:11">
      <c r="B64" s="413"/>
      <c r="C64" s="413"/>
      <c r="D64" s="317" t="s">
        <v>150</v>
      </c>
      <c r="E64" s="317" t="s">
        <v>20</v>
      </c>
      <c r="F64" s="271">
        <v>118</v>
      </c>
      <c r="G64" s="342">
        <v>11800</v>
      </c>
      <c r="H64" s="276">
        <v>33394920</v>
      </c>
      <c r="I64" s="342"/>
      <c r="J64" s="276"/>
      <c r="K64" s="342">
        <f t="shared" si="0"/>
        <v>11800</v>
      </c>
    </row>
    <row r="65" spans="2:11">
      <c r="B65" s="413"/>
      <c r="C65" s="413"/>
      <c r="D65" s="317" t="s">
        <v>151</v>
      </c>
      <c r="E65" s="317" t="s">
        <v>21</v>
      </c>
      <c r="F65" s="271">
        <v>96</v>
      </c>
      <c r="G65" s="342">
        <v>9600</v>
      </c>
      <c r="H65" s="276">
        <v>33394923</v>
      </c>
      <c r="I65" s="342">
        <f>G65</f>
        <v>9600</v>
      </c>
      <c r="J65" s="276" t="s">
        <v>310</v>
      </c>
      <c r="K65" s="342">
        <f t="shared" si="0"/>
        <v>0</v>
      </c>
    </row>
    <row r="66" spans="2:11">
      <c r="B66" s="413"/>
      <c r="C66" s="413"/>
      <c r="D66" s="317" t="s">
        <v>152</v>
      </c>
      <c r="E66" s="317" t="s">
        <v>12</v>
      </c>
      <c r="F66" s="271">
        <v>96</v>
      </c>
      <c r="G66" s="342">
        <v>9600</v>
      </c>
      <c r="H66" s="276">
        <v>33649734</v>
      </c>
      <c r="I66" s="342"/>
      <c r="J66" s="276"/>
      <c r="K66" s="342">
        <f t="shared" si="0"/>
        <v>9600</v>
      </c>
    </row>
    <row r="67" spans="2:11">
      <c r="B67" s="413"/>
      <c r="C67" s="413"/>
      <c r="D67" s="317" t="s">
        <v>153</v>
      </c>
      <c r="E67" s="317" t="s">
        <v>22</v>
      </c>
      <c r="F67" s="271">
        <v>96</v>
      </c>
      <c r="G67" s="342">
        <v>9600</v>
      </c>
      <c r="H67" s="276">
        <v>33394924</v>
      </c>
      <c r="I67" s="342"/>
      <c r="J67" s="276"/>
      <c r="K67" s="342">
        <f t="shared" si="0"/>
        <v>9600</v>
      </c>
    </row>
    <row r="68" spans="2:11">
      <c r="B68" s="413"/>
      <c r="C68" s="413"/>
      <c r="D68" s="317" t="s">
        <v>154</v>
      </c>
      <c r="E68" s="317" t="s">
        <v>13</v>
      </c>
      <c r="F68" s="271">
        <v>144</v>
      </c>
      <c r="G68" s="342">
        <v>14400</v>
      </c>
      <c r="H68" s="276">
        <v>33649736</v>
      </c>
      <c r="I68" s="342"/>
      <c r="J68" s="276"/>
      <c r="K68" s="342">
        <f t="shared" si="0"/>
        <v>14400</v>
      </c>
    </row>
    <row r="69" spans="2:11">
      <c r="B69" s="413">
        <v>5</v>
      </c>
      <c r="C69" s="413" t="s">
        <v>34</v>
      </c>
      <c r="D69" s="317" t="s">
        <v>126</v>
      </c>
      <c r="E69" s="317" t="s">
        <v>35</v>
      </c>
      <c r="F69" s="271">
        <v>96</v>
      </c>
      <c r="G69" s="342">
        <v>28800</v>
      </c>
      <c r="H69" s="276">
        <v>33394928</v>
      </c>
      <c r="I69" s="342"/>
      <c r="J69" s="276"/>
      <c r="K69" s="342">
        <f t="shared" si="0"/>
        <v>28800</v>
      </c>
    </row>
    <row r="70" spans="2:11">
      <c r="B70" s="413"/>
      <c r="C70" s="413"/>
      <c r="D70" s="317" t="s">
        <v>127</v>
      </c>
      <c r="E70" s="317" t="s">
        <v>36</v>
      </c>
      <c r="F70" s="271">
        <v>96</v>
      </c>
      <c r="G70" s="342">
        <v>28800</v>
      </c>
      <c r="H70" s="276">
        <v>33394930</v>
      </c>
      <c r="I70" s="342"/>
      <c r="J70" s="276"/>
      <c r="K70" s="342">
        <f t="shared" si="0"/>
        <v>28800</v>
      </c>
    </row>
    <row r="71" spans="2:11">
      <c r="B71" s="413"/>
      <c r="C71" s="413"/>
      <c r="D71" s="317" t="s">
        <v>128</v>
      </c>
      <c r="E71" s="317" t="s">
        <v>12</v>
      </c>
      <c r="F71" s="271">
        <v>99</v>
      </c>
      <c r="G71" s="342">
        <v>29700</v>
      </c>
      <c r="H71" s="276">
        <v>33649738</v>
      </c>
      <c r="I71" s="342"/>
      <c r="J71" s="276"/>
      <c r="K71" s="342">
        <f t="shared" si="0"/>
        <v>29700</v>
      </c>
    </row>
    <row r="72" spans="2:11">
      <c r="B72" s="413"/>
      <c r="C72" s="413"/>
      <c r="D72" s="317" t="s">
        <v>129</v>
      </c>
      <c r="E72" s="317" t="s">
        <v>12</v>
      </c>
      <c r="F72" s="271">
        <v>147</v>
      </c>
      <c r="G72" s="342">
        <v>44100</v>
      </c>
      <c r="H72" s="276">
        <v>33649740</v>
      </c>
      <c r="I72" s="342"/>
      <c r="J72" s="276"/>
      <c r="K72" s="342">
        <f t="shared" si="0"/>
        <v>44100</v>
      </c>
    </row>
    <row r="73" spans="2:11">
      <c r="B73" s="413">
        <v>6</v>
      </c>
      <c r="C73" s="413" t="s">
        <v>53</v>
      </c>
      <c r="D73" s="317" t="s">
        <v>132</v>
      </c>
      <c r="E73" s="317" t="s">
        <v>158</v>
      </c>
      <c r="F73" s="271">
        <v>144</v>
      </c>
      <c r="G73" s="342">
        <v>0</v>
      </c>
      <c r="H73" s="276" t="s">
        <v>311</v>
      </c>
      <c r="I73" s="342"/>
      <c r="J73" s="276" t="s">
        <v>311</v>
      </c>
      <c r="K73" s="342">
        <f t="shared" si="0"/>
        <v>0</v>
      </c>
    </row>
    <row r="74" spans="2:11">
      <c r="B74" s="413"/>
      <c r="C74" s="413"/>
      <c r="D74" s="317" t="s">
        <v>133</v>
      </c>
      <c r="E74" s="317" t="s">
        <v>26</v>
      </c>
      <c r="F74" s="271">
        <v>98</v>
      </c>
      <c r="G74" s="342">
        <v>0</v>
      </c>
      <c r="H74" s="276" t="s">
        <v>311</v>
      </c>
      <c r="I74" s="342"/>
      <c r="J74" s="276" t="s">
        <v>311</v>
      </c>
      <c r="K74" s="342">
        <f t="shared" si="0"/>
        <v>0</v>
      </c>
    </row>
    <row r="75" spans="2:11">
      <c r="B75" s="413"/>
      <c r="C75" s="413"/>
      <c r="D75" s="317" t="s">
        <v>134</v>
      </c>
      <c r="E75" s="317" t="s">
        <v>27</v>
      </c>
      <c r="F75" s="271">
        <v>98</v>
      </c>
      <c r="G75" s="342">
        <v>0</v>
      </c>
      <c r="H75" s="276" t="s">
        <v>311</v>
      </c>
      <c r="I75" s="342"/>
      <c r="J75" s="276" t="s">
        <v>311</v>
      </c>
      <c r="K75" s="342">
        <f t="shared" si="0"/>
        <v>0</v>
      </c>
    </row>
    <row r="76" spans="2:11">
      <c r="B76" s="413"/>
      <c r="C76" s="413"/>
      <c r="D76" s="317" t="s">
        <v>135</v>
      </c>
      <c r="E76" s="317" t="s">
        <v>28</v>
      </c>
      <c r="F76" s="271">
        <v>99</v>
      </c>
      <c r="G76" s="342">
        <v>0</v>
      </c>
      <c r="H76" s="276" t="s">
        <v>311</v>
      </c>
      <c r="I76" s="342"/>
      <c r="J76" s="276" t="s">
        <v>311</v>
      </c>
      <c r="K76" s="342">
        <f t="shared" si="0"/>
        <v>0</v>
      </c>
    </row>
    <row r="77" spans="2:11">
      <c r="B77" s="413"/>
      <c r="C77" s="413"/>
      <c r="D77" s="317" t="s">
        <v>136</v>
      </c>
      <c r="E77" s="317" t="s">
        <v>29</v>
      </c>
      <c r="F77" s="271">
        <v>96</v>
      </c>
      <c r="G77" s="342">
        <v>0</v>
      </c>
      <c r="H77" s="276" t="s">
        <v>311</v>
      </c>
      <c r="I77" s="342"/>
      <c r="J77" s="276" t="s">
        <v>311</v>
      </c>
      <c r="K77" s="342">
        <f t="shared" si="0"/>
        <v>0</v>
      </c>
    </row>
    <row r="78" spans="2:11">
      <c r="B78" s="413"/>
      <c r="C78" s="413"/>
      <c r="D78" s="317" t="s">
        <v>137</v>
      </c>
      <c r="E78" s="317" t="s">
        <v>30</v>
      </c>
      <c r="F78" s="271">
        <v>96</v>
      </c>
      <c r="G78" s="342">
        <v>0</v>
      </c>
      <c r="H78" s="276" t="s">
        <v>311</v>
      </c>
      <c r="I78" s="342"/>
      <c r="J78" s="276" t="s">
        <v>311</v>
      </c>
      <c r="K78" s="342">
        <f t="shared" si="0"/>
        <v>0</v>
      </c>
    </row>
    <row r="79" spans="2:11">
      <c r="B79" s="413"/>
      <c r="C79" s="413"/>
      <c r="D79" s="317" t="s">
        <v>138</v>
      </c>
      <c r="E79" s="317" t="s">
        <v>31</v>
      </c>
      <c r="F79" s="271">
        <v>147</v>
      </c>
      <c r="G79" s="342">
        <v>0</v>
      </c>
      <c r="H79" s="276" t="s">
        <v>311</v>
      </c>
      <c r="I79" s="342"/>
      <c r="J79" s="276" t="s">
        <v>311</v>
      </c>
      <c r="K79" s="342">
        <f t="shared" si="0"/>
        <v>0</v>
      </c>
    </row>
    <row r="80" spans="2:11">
      <c r="B80" s="413"/>
      <c r="C80" s="413"/>
      <c r="D80" s="317" t="s">
        <v>139</v>
      </c>
      <c r="E80" s="317" t="s">
        <v>158</v>
      </c>
      <c r="F80" s="271">
        <v>147</v>
      </c>
      <c r="G80" s="342">
        <v>0</v>
      </c>
      <c r="H80" s="276" t="s">
        <v>311</v>
      </c>
      <c r="I80" s="342"/>
      <c r="J80" s="276" t="s">
        <v>311</v>
      </c>
      <c r="K80" s="342">
        <f t="shared" si="0"/>
        <v>0</v>
      </c>
    </row>
    <row r="81" spans="2:15">
      <c r="B81" s="413"/>
      <c r="C81" s="413"/>
      <c r="D81" s="317" t="s">
        <v>140</v>
      </c>
      <c r="E81" s="317" t="s">
        <v>32</v>
      </c>
      <c r="F81" s="271">
        <v>99</v>
      </c>
      <c r="G81" s="342">
        <v>0</v>
      </c>
      <c r="H81" s="276" t="s">
        <v>311</v>
      </c>
      <c r="I81" s="342"/>
      <c r="J81" s="276" t="s">
        <v>311</v>
      </c>
      <c r="K81" s="342">
        <f t="shared" si="0"/>
        <v>0</v>
      </c>
    </row>
    <row r="82" spans="2:15">
      <c r="B82" s="413"/>
      <c r="C82" s="413"/>
      <c r="D82" s="317" t="s">
        <v>141</v>
      </c>
      <c r="E82" s="317" t="s">
        <v>158</v>
      </c>
      <c r="F82" s="271">
        <v>192</v>
      </c>
      <c r="G82" s="342">
        <v>0</v>
      </c>
      <c r="H82" s="276" t="s">
        <v>311</v>
      </c>
      <c r="I82" s="342"/>
      <c r="J82" s="276" t="s">
        <v>311</v>
      </c>
      <c r="K82" s="342">
        <f t="shared" si="0"/>
        <v>0</v>
      </c>
    </row>
    <row r="83" spans="2:15">
      <c r="B83" s="413"/>
      <c r="C83" s="413"/>
      <c r="D83" s="317" t="s">
        <v>142</v>
      </c>
      <c r="E83" s="317" t="s">
        <v>13</v>
      </c>
      <c r="F83" s="271">
        <v>96</v>
      </c>
      <c r="G83" s="342">
        <v>0</v>
      </c>
      <c r="H83" s="276" t="s">
        <v>311</v>
      </c>
      <c r="I83" s="342"/>
      <c r="J83" s="276" t="s">
        <v>311</v>
      </c>
      <c r="K83" s="342">
        <f t="shared" si="0"/>
        <v>0</v>
      </c>
    </row>
    <row r="84" spans="2:15">
      <c r="B84" s="413"/>
      <c r="C84" s="413"/>
      <c r="D84" s="317" t="s">
        <v>143</v>
      </c>
      <c r="E84" s="317" t="s">
        <v>158</v>
      </c>
      <c r="F84" s="271">
        <v>96</v>
      </c>
      <c r="G84" s="342">
        <v>0</v>
      </c>
      <c r="H84" s="276" t="s">
        <v>311</v>
      </c>
      <c r="I84" s="342"/>
      <c r="J84" s="276" t="s">
        <v>311</v>
      </c>
      <c r="K84" s="342">
        <f t="shared" si="0"/>
        <v>0</v>
      </c>
    </row>
    <row r="85" spans="2:15">
      <c r="B85" s="317">
        <v>7</v>
      </c>
      <c r="C85" s="317" t="s">
        <v>55</v>
      </c>
      <c r="D85" s="317" t="s">
        <v>144</v>
      </c>
      <c r="E85" s="317" t="s">
        <v>33</v>
      </c>
      <c r="F85" s="271">
        <v>96</v>
      </c>
      <c r="G85" s="342">
        <v>0</v>
      </c>
      <c r="H85" s="276" t="s">
        <v>311</v>
      </c>
      <c r="I85" s="342"/>
      <c r="J85" s="276" t="s">
        <v>311</v>
      </c>
      <c r="K85" s="342">
        <f t="shared" si="0"/>
        <v>0</v>
      </c>
    </row>
    <row r="86" spans="2:15">
      <c r="B86" s="273"/>
      <c r="C86" s="273"/>
      <c r="D86" s="273"/>
      <c r="E86" s="273"/>
      <c r="F86" s="274"/>
      <c r="G86" s="343"/>
      <c r="H86" s="277"/>
      <c r="I86" s="343"/>
      <c r="J86" s="277"/>
      <c r="K86" s="343"/>
    </row>
    <row r="87" spans="2:15">
      <c r="B87" s="412" t="s">
        <v>47</v>
      </c>
      <c r="C87" s="412"/>
      <c r="D87" s="412"/>
      <c r="E87" s="412"/>
      <c r="F87" s="412"/>
      <c r="G87" s="351">
        <f>SUM(G49:G85)</f>
        <v>270200</v>
      </c>
      <c r="H87" s="329"/>
      <c r="I87" s="351">
        <f>SUM(I49:I85)</f>
        <v>9600</v>
      </c>
      <c r="J87" s="329"/>
      <c r="K87" s="351">
        <f>SUM(K49:K85)</f>
        <v>260600</v>
      </c>
    </row>
    <row r="90" spans="2:15" ht="21">
      <c r="B90" s="414" t="s">
        <v>90</v>
      </c>
      <c r="C90" s="414"/>
      <c r="D90" s="414"/>
      <c r="E90" s="414"/>
      <c r="F90" s="414"/>
      <c r="G90" s="414"/>
      <c r="H90" s="414"/>
      <c r="I90" s="414"/>
      <c r="J90" s="414"/>
      <c r="K90" s="414"/>
    </row>
    <row r="91" spans="2:15" s="322" customFormat="1" ht="15.75">
      <c r="B91" s="336" t="s">
        <v>161</v>
      </c>
      <c r="C91" s="336" t="s">
        <v>0</v>
      </c>
      <c r="D91" s="336" t="s">
        <v>160</v>
      </c>
      <c r="E91" s="336" t="s">
        <v>46</v>
      </c>
      <c r="F91" s="336" t="s">
        <v>162</v>
      </c>
      <c r="G91" s="341" t="s">
        <v>168</v>
      </c>
      <c r="H91" s="334" t="s">
        <v>307</v>
      </c>
      <c r="I91" s="346" t="s">
        <v>454</v>
      </c>
      <c r="J91" s="357" t="s">
        <v>308</v>
      </c>
      <c r="K91" s="346" t="s">
        <v>455</v>
      </c>
    </row>
    <row r="92" spans="2:15">
      <c r="B92" s="413">
        <v>1</v>
      </c>
      <c r="C92" s="413" t="s">
        <v>7</v>
      </c>
      <c r="D92" s="317" t="s">
        <v>115</v>
      </c>
      <c r="E92" s="317" t="s">
        <v>14</v>
      </c>
      <c r="F92" s="271">
        <v>96</v>
      </c>
      <c r="G92" s="342">
        <v>14400</v>
      </c>
      <c r="H92" s="276">
        <v>33394910</v>
      </c>
      <c r="I92" s="342"/>
      <c r="J92" s="276"/>
      <c r="K92" s="342">
        <f>G92-I92</f>
        <v>14400</v>
      </c>
    </row>
    <row r="93" spans="2:15">
      <c r="B93" s="413"/>
      <c r="C93" s="413"/>
      <c r="D93" s="317" t="s">
        <v>116</v>
      </c>
      <c r="E93" s="317" t="s">
        <v>15</v>
      </c>
      <c r="F93" s="271">
        <v>96</v>
      </c>
      <c r="G93" s="342">
        <v>14400</v>
      </c>
      <c r="H93" s="276">
        <v>33394912</v>
      </c>
      <c r="I93" s="342"/>
      <c r="J93" s="276"/>
      <c r="K93" s="342">
        <f t="shared" ref="K93:K128" si="1">G93-I93</f>
        <v>14400</v>
      </c>
      <c r="M93" s="268">
        <f>37-7</f>
        <v>30</v>
      </c>
      <c r="N93" s="268">
        <v>15</v>
      </c>
      <c r="O93" s="268">
        <v>45</v>
      </c>
    </row>
    <row r="94" spans="2:15">
      <c r="B94" s="317">
        <v>2</v>
      </c>
      <c r="C94" s="317" t="s">
        <v>8</v>
      </c>
      <c r="D94" s="317" t="s">
        <v>112</v>
      </c>
      <c r="E94" s="317" t="s">
        <v>16</v>
      </c>
      <c r="F94" s="271">
        <v>96</v>
      </c>
      <c r="G94" s="342">
        <v>14400</v>
      </c>
      <c r="H94" s="276">
        <v>33394908</v>
      </c>
      <c r="I94" s="342">
        <f>G94</f>
        <v>14400</v>
      </c>
      <c r="J94" s="281">
        <v>46208</v>
      </c>
      <c r="K94" s="342">
        <f t="shared" si="1"/>
        <v>0</v>
      </c>
      <c r="O94" s="268">
        <v>24</v>
      </c>
    </row>
    <row r="95" spans="2:15">
      <c r="B95" s="413">
        <v>3</v>
      </c>
      <c r="C95" s="413" t="s">
        <v>5</v>
      </c>
      <c r="D95" s="317" t="s">
        <v>102</v>
      </c>
      <c r="E95" s="317" t="s">
        <v>23</v>
      </c>
      <c r="F95" s="271">
        <v>96</v>
      </c>
      <c r="G95" s="342">
        <v>17280</v>
      </c>
      <c r="H95" s="276">
        <v>33394913</v>
      </c>
      <c r="I95" s="342">
        <f>G95</f>
        <v>17280</v>
      </c>
      <c r="J95" s="276" t="s">
        <v>310</v>
      </c>
      <c r="K95" s="342">
        <f t="shared" si="1"/>
        <v>0</v>
      </c>
      <c r="O95" s="268">
        <f>O93-O94</f>
        <v>21</v>
      </c>
    </row>
    <row r="96" spans="2:15">
      <c r="B96" s="413"/>
      <c r="C96" s="413"/>
      <c r="D96" s="317" t="s">
        <v>117</v>
      </c>
      <c r="E96" s="317" t="s">
        <v>158</v>
      </c>
      <c r="F96" s="271">
        <v>98</v>
      </c>
      <c r="G96" s="342">
        <v>17640</v>
      </c>
      <c r="H96" s="276">
        <v>33649726</v>
      </c>
      <c r="I96" s="343">
        <v>0</v>
      </c>
      <c r="J96" s="331"/>
      <c r="K96" s="342">
        <f t="shared" si="1"/>
        <v>17640</v>
      </c>
    </row>
    <row r="97" spans="2:11">
      <c r="B97" s="413"/>
      <c r="C97" s="413"/>
      <c r="D97" s="317" t="s">
        <v>118</v>
      </c>
      <c r="E97" s="317" t="s">
        <v>158</v>
      </c>
      <c r="F97" s="271">
        <v>99</v>
      </c>
      <c r="G97" s="342">
        <v>17820</v>
      </c>
      <c r="H97" s="276">
        <v>33649727</v>
      </c>
      <c r="I97" s="342"/>
      <c r="J97" s="276"/>
      <c r="K97" s="342">
        <f t="shared" si="1"/>
        <v>17820</v>
      </c>
    </row>
    <row r="98" spans="2:11">
      <c r="B98" s="413"/>
      <c r="C98" s="413"/>
      <c r="D98" s="317" t="s">
        <v>119</v>
      </c>
      <c r="E98" s="317" t="s">
        <v>158</v>
      </c>
      <c r="F98" s="271">
        <v>147</v>
      </c>
      <c r="G98" s="342">
        <v>26460</v>
      </c>
      <c r="H98" s="276">
        <v>33649728</v>
      </c>
      <c r="I98" s="342"/>
      <c r="J98" s="276"/>
      <c r="K98" s="342">
        <f t="shared" si="1"/>
        <v>26460</v>
      </c>
    </row>
    <row r="99" spans="2:11">
      <c r="B99" s="413"/>
      <c r="C99" s="413"/>
      <c r="D99" s="317" t="s">
        <v>120</v>
      </c>
      <c r="E99" s="317" t="s">
        <v>158</v>
      </c>
      <c r="F99" s="271">
        <v>147</v>
      </c>
      <c r="G99" s="342">
        <v>26460</v>
      </c>
      <c r="H99" s="276">
        <v>33649729</v>
      </c>
      <c r="I99" s="342"/>
      <c r="J99" s="276"/>
      <c r="K99" s="342">
        <f t="shared" si="1"/>
        <v>26460</v>
      </c>
    </row>
    <row r="100" spans="2:11">
      <c r="B100" s="413"/>
      <c r="C100" s="413"/>
      <c r="D100" s="317" t="s">
        <v>121</v>
      </c>
      <c r="E100" s="317" t="s">
        <v>13</v>
      </c>
      <c r="F100" s="271">
        <v>99</v>
      </c>
      <c r="G100" s="342">
        <v>17820</v>
      </c>
      <c r="H100" s="276">
        <v>33649730</v>
      </c>
      <c r="I100" s="342"/>
      <c r="J100" s="276"/>
      <c r="K100" s="342">
        <f t="shared" si="1"/>
        <v>17820</v>
      </c>
    </row>
    <row r="101" spans="2:11">
      <c r="B101" s="413"/>
      <c r="C101" s="413"/>
      <c r="D101" s="317" t="s">
        <v>122</v>
      </c>
      <c r="E101" s="317" t="s">
        <v>158</v>
      </c>
      <c r="F101" s="271">
        <v>192</v>
      </c>
      <c r="G101" s="342">
        <v>34560</v>
      </c>
      <c r="H101" s="276">
        <v>33649731</v>
      </c>
      <c r="I101" s="342"/>
      <c r="J101" s="276"/>
      <c r="K101" s="342">
        <f t="shared" si="1"/>
        <v>34560</v>
      </c>
    </row>
    <row r="102" spans="2:11">
      <c r="B102" s="413">
        <v>4</v>
      </c>
      <c r="C102" s="413" t="s">
        <v>4</v>
      </c>
      <c r="D102" s="317" t="s">
        <v>145</v>
      </c>
      <c r="E102" s="317" t="s">
        <v>13</v>
      </c>
      <c r="F102" s="271">
        <v>144</v>
      </c>
      <c r="G102" s="342">
        <v>14400</v>
      </c>
      <c r="H102" s="276">
        <v>33649733</v>
      </c>
      <c r="I102" s="342"/>
      <c r="J102" s="276"/>
      <c r="K102" s="342">
        <f t="shared" si="1"/>
        <v>14400</v>
      </c>
    </row>
    <row r="103" spans="2:11">
      <c r="B103" s="413"/>
      <c r="C103" s="413"/>
      <c r="D103" s="317" t="s">
        <v>146</v>
      </c>
      <c r="E103" s="317" t="s">
        <v>17</v>
      </c>
      <c r="F103" s="271">
        <v>96</v>
      </c>
      <c r="G103" s="342">
        <v>9600</v>
      </c>
      <c r="H103" s="276">
        <v>33394915</v>
      </c>
      <c r="I103" s="342"/>
      <c r="J103" s="276"/>
      <c r="K103" s="342">
        <f t="shared" si="1"/>
        <v>9600</v>
      </c>
    </row>
    <row r="104" spans="2:11">
      <c r="B104" s="413"/>
      <c r="C104" s="413"/>
      <c r="D104" s="317" t="s">
        <v>147</v>
      </c>
      <c r="E104" s="317" t="s">
        <v>18</v>
      </c>
      <c r="F104" s="271">
        <v>96</v>
      </c>
      <c r="G104" s="342">
        <v>9600</v>
      </c>
      <c r="H104" s="276">
        <v>33394917</v>
      </c>
      <c r="I104" s="342"/>
      <c r="J104" s="276"/>
      <c r="K104" s="342">
        <f t="shared" si="1"/>
        <v>9600</v>
      </c>
    </row>
    <row r="105" spans="2:11">
      <c r="B105" s="413"/>
      <c r="C105" s="413"/>
      <c r="D105" s="317" t="s">
        <v>148</v>
      </c>
      <c r="E105" s="317" t="s">
        <v>19</v>
      </c>
      <c r="F105" s="271">
        <v>96</v>
      </c>
      <c r="G105" s="342">
        <v>9600</v>
      </c>
      <c r="H105" s="276">
        <v>33394927</v>
      </c>
      <c r="I105" s="342"/>
      <c r="J105" s="276"/>
      <c r="K105" s="342">
        <f t="shared" si="1"/>
        <v>9600</v>
      </c>
    </row>
    <row r="106" spans="2:11">
      <c r="B106" s="413"/>
      <c r="C106" s="413"/>
      <c r="D106" s="317" t="s">
        <v>149</v>
      </c>
      <c r="E106" s="317" t="s">
        <v>20</v>
      </c>
      <c r="F106" s="271">
        <v>118</v>
      </c>
      <c r="G106" s="342">
        <v>11800</v>
      </c>
      <c r="H106" s="276">
        <v>33394919</v>
      </c>
      <c r="I106" s="342"/>
      <c r="J106" s="276"/>
      <c r="K106" s="342">
        <f t="shared" si="1"/>
        <v>11800</v>
      </c>
    </row>
    <row r="107" spans="2:11">
      <c r="B107" s="413"/>
      <c r="C107" s="413"/>
      <c r="D107" s="317" t="s">
        <v>150</v>
      </c>
      <c r="E107" s="317" t="s">
        <v>20</v>
      </c>
      <c r="F107" s="271">
        <v>118</v>
      </c>
      <c r="G107" s="342">
        <v>11800</v>
      </c>
      <c r="H107" s="276">
        <v>33394921</v>
      </c>
      <c r="I107" s="342"/>
      <c r="J107" s="276"/>
      <c r="K107" s="342">
        <f t="shared" si="1"/>
        <v>11800</v>
      </c>
    </row>
    <row r="108" spans="2:11">
      <c r="B108" s="413"/>
      <c r="C108" s="413"/>
      <c r="D108" s="317" t="s">
        <v>151</v>
      </c>
      <c r="E108" s="317" t="s">
        <v>21</v>
      </c>
      <c r="F108" s="271">
        <v>96</v>
      </c>
      <c r="G108" s="342">
        <v>9600</v>
      </c>
      <c r="H108" s="276" t="s">
        <v>318</v>
      </c>
      <c r="I108" s="342">
        <f>G108</f>
        <v>9600</v>
      </c>
      <c r="J108" s="276" t="s">
        <v>310</v>
      </c>
      <c r="K108" s="342">
        <f t="shared" si="1"/>
        <v>0</v>
      </c>
    </row>
    <row r="109" spans="2:11">
      <c r="B109" s="413"/>
      <c r="C109" s="413"/>
      <c r="D109" s="317" t="s">
        <v>152</v>
      </c>
      <c r="E109" s="317" t="s">
        <v>12</v>
      </c>
      <c r="F109" s="271">
        <v>96</v>
      </c>
      <c r="G109" s="342">
        <v>9600</v>
      </c>
      <c r="H109" s="276">
        <v>33649735</v>
      </c>
      <c r="I109" s="342"/>
      <c r="J109" s="276"/>
      <c r="K109" s="342">
        <f t="shared" si="1"/>
        <v>9600</v>
      </c>
    </row>
    <row r="110" spans="2:11">
      <c r="B110" s="413"/>
      <c r="C110" s="413"/>
      <c r="D110" s="317" t="s">
        <v>153</v>
      </c>
      <c r="E110" s="317" t="s">
        <v>22</v>
      </c>
      <c r="F110" s="271">
        <v>96</v>
      </c>
      <c r="G110" s="342">
        <v>9600</v>
      </c>
      <c r="H110" s="276">
        <v>33394925</v>
      </c>
      <c r="I110" s="342"/>
      <c r="J110" s="276"/>
      <c r="K110" s="342">
        <f t="shared" si="1"/>
        <v>9600</v>
      </c>
    </row>
    <row r="111" spans="2:11">
      <c r="B111" s="413"/>
      <c r="C111" s="413"/>
      <c r="D111" s="317" t="s">
        <v>154</v>
      </c>
      <c r="E111" s="317" t="s">
        <v>13</v>
      </c>
      <c r="F111" s="271">
        <v>144</v>
      </c>
      <c r="G111" s="342">
        <v>14400</v>
      </c>
      <c r="H111" s="276">
        <v>33649737</v>
      </c>
      <c r="I111" s="342"/>
      <c r="J111" s="276"/>
      <c r="K111" s="342">
        <f t="shared" si="1"/>
        <v>14400</v>
      </c>
    </row>
    <row r="112" spans="2:11">
      <c r="B112" s="413">
        <v>5</v>
      </c>
      <c r="C112" s="413" t="s">
        <v>34</v>
      </c>
      <c r="D112" s="317" t="s">
        <v>126</v>
      </c>
      <c r="E112" s="317" t="s">
        <v>35</v>
      </c>
      <c r="F112" s="271">
        <v>96</v>
      </c>
      <c r="G112" s="342">
        <v>28800</v>
      </c>
      <c r="H112" s="276">
        <v>33394929</v>
      </c>
      <c r="I112" s="342"/>
      <c r="J112" s="276"/>
      <c r="K112" s="342">
        <f t="shared" si="1"/>
        <v>28800</v>
      </c>
    </row>
    <row r="113" spans="2:11">
      <c r="B113" s="413"/>
      <c r="C113" s="413"/>
      <c r="D113" s="317" t="s">
        <v>127</v>
      </c>
      <c r="E113" s="317" t="s">
        <v>36</v>
      </c>
      <c r="F113" s="271">
        <v>96</v>
      </c>
      <c r="G113" s="342">
        <v>28800</v>
      </c>
      <c r="H113" s="276">
        <v>33394931</v>
      </c>
      <c r="I113" s="342"/>
      <c r="J113" s="276"/>
      <c r="K113" s="342">
        <f t="shared" si="1"/>
        <v>28800</v>
      </c>
    </row>
    <row r="114" spans="2:11">
      <c r="B114" s="413"/>
      <c r="C114" s="413"/>
      <c r="D114" s="317" t="s">
        <v>128</v>
      </c>
      <c r="E114" s="317" t="s">
        <v>12</v>
      </c>
      <c r="F114" s="271">
        <v>99</v>
      </c>
      <c r="G114" s="342">
        <v>29700</v>
      </c>
      <c r="H114" s="276">
        <v>33649739</v>
      </c>
      <c r="I114" s="342"/>
      <c r="J114" s="276"/>
      <c r="K114" s="342">
        <f t="shared" si="1"/>
        <v>29700</v>
      </c>
    </row>
    <row r="115" spans="2:11">
      <c r="B115" s="413"/>
      <c r="C115" s="413"/>
      <c r="D115" s="317" t="s">
        <v>129</v>
      </c>
      <c r="E115" s="317" t="s">
        <v>12</v>
      </c>
      <c r="F115" s="271">
        <v>147</v>
      </c>
      <c r="G115" s="342">
        <v>44100</v>
      </c>
      <c r="H115" s="276">
        <v>33649741</v>
      </c>
      <c r="I115" s="342"/>
      <c r="J115" s="276"/>
      <c r="K115" s="342">
        <f t="shared" si="1"/>
        <v>44100</v>
      </c>
    </row>
    <row r="116" spans="2:11">
      <c r="B116" s="413">
        <v>6</v>
      </c>
      <c r="C116" s="413" t="s">
        <v>53</v>
      </c>
      <c r="D116" s="317" t="s">
        <v>132</v>
      </c>
      <c r="E116" s="317" t="s">
        <v>158</v>
      </c>
      <c r="F116" s="271">
        <v>144</v>
      </c>
      <c r="G116" s="342">
        <v>28800</v>
      </c>
      <c r="H116" s="276">
        <v>33649742</v>
      </c>
      <c r="I116" s="342"/>
      <c r="J116" s="276"/>
      <c r="K116" s="342">
        <f t="shared" si="1"/>
        <v>28800</v>
      </c>
    </row>
    <row r="117" spans="2:11">
      <c r="B117" s="413"/>
      <c r="C117" s="413"/>
      <c r="D117" s="317" t="s">
        <v>133</v>
      </c>
      <c r="E117" s="317" t="s">
        <v>26</v>
      </c>
      <c r="F117" s="271">
        <v>98</v>
      </c>
      <c r="G117" s="342">
        <v>19600</v>
      </c>
      <c r="H117" s="325">
        <v>33394932</v>
      </c>
      <c r="I117" s="344"/>
      <c r="J117" s="276" t="s">
        <v>354</v>
      </c>
      <c r="K117" s="342">
        <f t="shared" si="1"/>
        <v>19600</v>
      </c>
    </row>
    <row r="118" spans="2:11">
      <c r="B118" s="413"/>
      <c r="C118" s="413"/>
      <c r="D118" s="317" t="s">
        <v>134</v>
      </c>
      <c r="E118" s="317" t="s">
        <v>27</v>
      </c>
      <c r="F118" s="271">
        <v>98</v>
      </c>
      <c r="G118" s="342">
        <v>19600</v>
      </c>
      <c r="H118" s="325">
        <v>33394933</v>
      </c>
      <c r="I118" s="344"/>
      <c r="J118" s="276"/>
      <c r="K118" s="342">
        <f t="shared" si="1"/>
        <v>19600</v>
      </c>
    </row>
    <row r="119" spans="2:11">
      <c r="B119" s="413"/>
      <c r="C119" s="413"/>
      <c r="D119" s="317" t="s">
        <v>135</v>
      </c>
      <c r="E119" s="317" t="s">
        <v>28</v>
      </c>
      <c r="F119" s="271">
        <v>99</v>
      </c>
      <c r="G119" s="342">
        <v>19800</v>
      </c>
      <c r="H119" s="325">
        <v>33394934</v>
      </c>
      <c r="I119" s="344">
        <f>G119</f>
        <v>19800</v>
      </c>
      <c r="J119" s="276" t="s">
        <v>313</v>
      </c>
      <c r="K119" s="342">
        <f t="shared" si="1"/>
        <v>0</v>
      </c>
    </row>
    <row r="120" spans="2:11">
      <c r="B120" s="413"/>
      <c r="C120" s="413"/>
      <c r="D120" s="317" t="s">
        <v>136</v>
      </c>
      <c r="E120" s="317" t="s">
        <v>29</v>
      </c>
      <c r="F120" s="271">
        <v>96</v>
      </c>
      <c r="G120" s="342">
        <v>19200</v>
      </c>
      <c r="H120" s="325">
        <v>33649765</v>
      </c>
      <c r="I120" s="344">
        <f>G120</f>
        <v>19200</v>
      </c>
      <c r="J120" s="281">
        <v>46271</v>
      </c>
      <c r="K120" s="342">
        <f t="shared" si="1"/>
        <v>0</v>
      </c>
    </row>
    <row r="121" spans="2:11">
      <c r="B121" s="413"/>
      <c r="C121" s="413"/>
      <c r="D121" s="317" t="s">
        <v>137</v>
      </c>
      <c r="E121" s="317" t="s">
        <v>30</v>
      </c>
      <c r="F121" s="271">
        <v>96</v>
      </c>
      <c r="G121" s="342">
        <v>19200</v>
      </c>
      <c r="H121" s="325">
        <v>33394936</v>
      </c>
      <c r="I121" s="344">
        <f>G121</f>
        <v>19200</v>
      </c>
      <c r="J121" s="276" t="s">
        <v>309</v>
      </c>
      <c r="K121" s="342">
        <f t="shared" si="1"/>
        <v>0</v>
      </c>
    </row>
    <row r="122" spans="2:11">
      <c r="B122" s="413"/>
      <c r="C122" s="413"/>
      <c r="D122" s="317" t="s">
        <v>138</v>
      </c>
      <c r="E122" s="317" t="s">
        <v>31</v>
      </c>
      <c r="F122" s="271">
        <v>147</v>
      </c>
      <c r="G122" s="342">
        <v>29400</v>
      </c>
      <c r="H122" s="325">
        <v>33394937</v>
      </c>
      <c r="I122" s="344"/>
      <c r="J122" s="276"/>
      <c r="K122" s="342">
        <f t="shared" si="1"/>
        <v>29400</v>
      </c>
    </row>
    <row r="123" spans="2:11">
      <c r="B123" s="413"/>
      <c r="C123" s="413"/>
      <c r="D123" s="317" t="s">
        <v>139</v>
      </c>
      <c r="E123" s="317" t="s">
        <v>158</v>
      </c>
      <c r="F123" s="271">
        <v>147</v>
      </c>
      <c r="G123" s="342">
        <v>29400</v>
      </c>
      <c r="H123" s="325">
        <v>33649743</v>
      </c>
      <c r="I123" s="344"/>
      <c r="J123" s="276"/>
      <c r="K123" s="342">
        <f t="shared" si="1"/>
        <v>29400</v>
      </c>
    </row>
    <row r="124" spans="2:11">
      <c r="B124" s="413"/>
      <c r="C124" s="413"/>
      <c r="D124" s="317" t="s">
        <v>140</v>
      </c>
      <c r="E124" s="317" t="s">
        <v>32</v>
      </c>
      <c r="F124" s="271">
        <v>99</v>
      </c>
      <c r="G124" s="342">
        <v>19800</v>
      </c>
      <c r="H124" s="325">
        <v>33394938</v>
      </c>
      <c r="I124" s="344"/>
      <c r="J124" s="276"/>
      <c r="K124" s="342">
        <f t="shared" si="1"/>
        <v>19800</v>
      </c>
    </row>
    <row r="125" spans="2:11">
      <c r="B125" s="413"/>
      <c r="C125" s="413"/>
      <c r="D125" s="317" t="s">
        <v>141</v>
      </c>
      <c r="E125" s="317" t="s">
        <v>158</v>
      </c>
      <c r="F125" s="271">
        <v>192</v>
      </c>
      <c r="G125" s="342">
        <v>38400</v>
      </c>
      <c r="H125" s="325">
        <v>33649744</v>
      </c>
      <c r="I125" s="344"/>
      <c r="J125" s="276"/>
      <c r="K125" s="342">
        <f t="shared" si="1"/>
        <v>38400</v>
      </c>
    </row>
    <row r="126" spans="2:11">
      <c r="B126" s="413"/>
      <c r="C126" s="413"/>
      <c r="D126" s="317" t="s">
        <v>142</v>
      </c>
      <c r="E126" s="317" t="s">
        <v>13</v>
      </c>
      <c r="F126" s="271">
        <v>96</v>
      </c>
      <c r="G126" s="342">
        <v>19200</v>
      </c>
      <c r="H126" s="325">
        <v>33649745</v>
      </c>
      <c r="I126" s="344"/>
      <c r="J126" s="276"/>
      <c r="K126" s="342">
        <f t="shared" si="1"/>
        <v>19200</v>
      </c>
    </row>
    <row r="127" spans="2:11">
      <c r="B127" s="413"/>
      <c r="C127" s="413"/>
      <c r="D127" s="317" t="s">
        <v>143</v>
      </c>
      <c r="E127" s="317" t="s">
        <v>158</v>
      </c>
      <c r="F127" s="271">
        <v>96</v>
      </c>
      <c r="G127" s="342">
        <v>19200</v>
      </c>
      <c r="H127" s="325">
        <v>33649746</v>
      </c>
      <c r="I127" s="344"/>
      <c r="J127" s="276"/>
      <c r="K127" s="342">
        <f t="shared" si="1"/>
        <v>19200</v>
      </c>
    </row>
    <row r="128" spans="2:11">
      <c r="B128" s="317">
        <v>7</v>
      </c>
      <c r="C128" s="317" t="s">
        <v>55</v>
      </c>
      <c r="D128" s="317" t="s">
        <v>144</v>
      </c>
      <c r="E128" s="317" t="s">
        <v>33</v>
      </c>
      <c r="F128" s="271">
        <v>96</v>
      </c>
      <c r="G128" s="342">
        <v>28800</v>
      </c>
      <c r="H128" s="325">
        <v>33394907</v>
      </c>
      <c r="I128" s="344">
        <f>G128</f>
        <v>28800</v>
      </c>
      <c r="J128" s="276" t="s">
        <v>312</v>
      </c>
      <c r="K128" s="342">
        <f t="shared" si="1"/>
        <v>0</v>
      </c>
    </row>
    <row r="129" spans="2:13">
      <c r="B129" s="273"/>
      <c r="C129" s="273"/>
      <c r="D129" s="273"/>
      <c r="E129" s="273"/>
      <c r="F129" s="274"/>
      <c r="G129" s="343"/>
      <c r="H129" s="277"/>
      <c r="I129" s="343"/>
      <c r="J129" s="327"/>
      <c r="K129" s="342"/>
    </row>
    <row r="130" spans="2:13">
      <c r="B130" s="412" t="s">
        <v>47</v>
      </c>
      <c r="C130" s="412"/>
      <c r="D130" s="412"/>
      <c r="E130" s="412"/>
      <c r="F130" s="412"/>
      <c r="G130" s="351">
        <f>SUM(G92:G128)</f>
        <v>753040</v>
      </c>
      <c r="H130" s="329"/>
      <c r="I130" s="351">
        <f>SUM(I92:I128)</f>
        <v>128280</v>
      </c>
      <c r="J130" s="329"/>
      <c r="K130" s="351">
        <f>SUM(K92:K128)</f>
        <v>624760</v>
      </c>
    </row>
    <row r="135" spans="2:13" ht="21">
      <c r="B135" s="414" t="s">
        <v>216</v>
      </c>
      <c r="C135" s="414"/>
      <c r="D135" s="414"/>
      <c r="E135" s="414"/>
      <c r="F135" s="414"/>
      <c r="G135" s="414"/>
      <c r="H135" s="414"/>
      <c r="I135" s="414"/>
      <c r="J135" s="414"/>
      <c r="K135" s="414"/>
    </row>
    <row r="136" spans="2:13" ht="15.75">
      <c r="B136" s="352" t="s">
        <v>161</v>
      </c>
      <c r="C136" s="352" t="s">
        <v>0</v>
      </c>
      <c r="D136" s="352" t="s">
        <v>160</v>
      </c>
      <c r="E136" s="352" t="s">
        <v>46</v>
      </c>
      <c r="F136" s="352" t="s">
        <v>162</v>
      </c>
      <c r="G136" s="341" t="s">
        <v>168</v>
      </c>
      <c r="H136" s="334" t="s">
        <v>307</v>
      </c>
      <c r="I136" s="346" t="s">
        <v>454</v>
      </c>
      <c r="J136" s="335" t="s">
        <v>308</v>
      </c>
      <c r="K136" s="349" t="s">
        <v>455</v>
      </c>
    </row>
    <row r="137" spans="2:13">
      <c r="B137" s="413">
        <v>1</v>
      </c>
      <c r="C137" s="413" t="s">
        <v>7</v>
      </c>
      <c r="D137" s="317" t="s">
        <v>115</v>
      </c>
      <c r="E137" s="317" t="s">
        <v>14</v>
      </c>
      <c r="F137" s="271">
        <v>96</v>
      </c>
      <c r="G137" s="342"/>
      <c r="H137" s="276" t="s">
        <v>311</v>
      </c>
      <c r="I137" s="342"/>
      <c r="J137" s="276" t="s">
        <v>311</v>
      </c>
      <c r="K137" s="342">
        <f>G137-I137</f>
        <v>0</v>
      </c>
      <c r="M137" s="268">
        <v>12</v>
      </c>
    </row>
    <row r="138" spans="2:13">
      <c r="B138" s="413"/>
      <c r="C138" s="413"/>
      <c r="D138" s="317" t="s">
        <v>116</v>
      </c>
      <c r="E138" s="317" t="s">
        <v>15</v>
      </c>
      <c r="F138" s="271">
        <v>96</v>
      </c>
      <c r="G138" s="342"/>
      <c r="H138" s="276" t="s">
        <v>311</v>
      </c>
      <c r="I138" s="342"/>
      <c r="J138" s="276" t="s">
        <v>311</v>
      </c>
      <c r="K138" s="342">
        <f t="shared" ref="K138:K173" si="2">G138-I138</f>
        <v>0</v>
      </c>
    </row>
    <row r="139" spans="2:13">
      <c r="B139" s="317">
        <v>2</v>
      </c>
      <c r="C139" s="317" t="s">
        <v>8</v>
      </c>
      <c r="D139" s="317" t="s">
        <v>112</v>
      </c>
      <c r="E139" s="317" t="s">
        <v>16</v>
      </c>
      <c r="F139" s="271">
        <v>96</v>
      </c>
      <c r="G139" s="342">
        <v>14400</v>
      </c>
      <c r="H139" s="276">
        <v>33649747</v>
      </c>
      <c r="I139" s="342">
        <f>G139</f>
        <v>14400</v>
      </c>
      <c r="J139" s="276" t="s">
        <v>316</v>
      </c>
      <c r="K139" s="342">
        <f t="shared" si="2"/>
        <v>0</v>
      </c>
    </row>
    <row r="140" spans="2:13">
      <c r="B140" s="413">
        <v>3</v>
      </c>
      <c r="C140" s="413" t="s">
        <v>5</v>
      </c>
      <c r="D140" s="317" t="s">
        <v>102</v>
      </c>
      <c r="E140" s="317" t="s">
        <v>23</v>
      </c>
      <c r="F140" s="271">
        <v>96</v>
      </c>
      <c r="G140" s="342"/>
      <c r="H140" s="281" t="s">
        <v>311</v>
      </c>
      <c r="I140" s="342"/>
      <c r="J140" s="276" t="s">
        <v>311</v>
      </c>
      <c r="K140" s="342">
        <f t="shared" si="2"/>
        <v>0</v>
      </c>
    </row>
    <row r="141" spans="2:13">
      <c r="B141" s="413"/>
      <c r="C141" s="413"/>
      <c r="D141" s="317" t="s">
        <v>117</v>
      </c>
      <c r="E141" s="317" t="s">
        <v>158</v>
      </c>
      <c r="F141" s="271">
        <v>98</v>
      </c>
      <c r="G141" s="342"/>
      <c r="H141" s="276" t="s">
        <v>311</v>
      </c>
      <c r="I141" s="342"/>
      <c r="J141" s="276" t="s">
        <v>311</v>
      </c>
      <c r="K141" s="342">
        <f t="shared" si="2"/>
        <v>0</v>
      </c>
    </row>
    <row r="142" spans="2:13">
      <c r="B142" s="413"/>
      <c r="C142" s="413"/>
      <c r="D142" s="317" t="s">
        <v>118</v>
      </c>
      <c r="E142" s="317" t="s">
        <v>158</v>
      </c>
      <c r="F142" s="271">
        <v>99</v>
      </c>
      <c r="G142" s="342"/>
      <c r="H142" s="276" t="s">
        <v>311</v>
      </c>
      <c r="I142" s="342"/>
      <c r="J142" s="276" t="s">
        <v>311</v>
      </c>
      <c r="K142" s="342">
        <f t="shared" si="2"/>
        <v>0</v>
      </c>
    </row>
    <row r="143" spans="2:13">
      <c r="B143" s="413"/>
      <c r="C143" s="413"/>
      <c r="D143" s="317" t="s">
        <v>119</v>
      </c>
      <c r="E143" s="317" t="s">
        <v>158</v>
      </c>
      <c r="F143" s="271">
        <v>147</v>
      </c>
      <c r="G143" s="342"/>
      <c r="H143" s="276" t="s">
        <v>311</v>
      </c>
      <c r="I143" s="342"/>
      <c r="J143" s="276" t="s">
        <v>311</v>
      </c>
      <c r="K143" s="342">
        <f t="shared" si="2"/>
        <v>0</v>
      </c>
    </row>
    <row r="144" spans="2:13">
      <c r="B144" s="413"/>
      <c r="C144" s="413"/>
      <c r="D144" s="317" t="s">
        <v>120</v>
      </c>
      <c r="E144" s="317" t="s">
        <v>158</v>
      </c>
      <c r="F144" s="271">
        <v>147</v>
      </c>
      <c r="G144" s="342"/>
      <c r="H144" s="276" t="s">
        <v>311</v>
      </c>
      <c r="I144" s="342"/>
      <c r="J144" s="276" t="s">
        <v>311</v>
      </c>
      <c r="K144" s="342">
        <f t="shared" si="2"/>
        <v>0</v>
      </c>
    </row>
    <row r="145" spans="2:11">
      <c r="B145" s="413"/>
      <c r="C145" s="413"/>
      <c r="D145" s="317" t="s">
        <v>121</v>
      </c>
      <c r="E145" s="317" t="s">
        <v>13</v>
      </c>
      <c r="F145" s="271">
        <v>99</v>
      </c>
      <c r="G145" s="342"/>
      <c r="H145" s="276" t="s">
        <v>311</v>
      </c>
      <c r="I145" s="342"/>
      <c r="J145" s="276" t="s">
        <v>311</v>
      </c>
      <c r="K145" s="342">
        <f t="shared" si="2"/>
        <v>0</v>
      </c>
    </row>
    <row r="146" spans="2:11">
      <c r="B146" s="413"/>
      <c r="C146" s="413"/>
      <c r="D146" s="317" t="s">
        <v>122</v>
      </c>
      <c r="E146" s="317" t="s">
        <v>158</v>
      </c>
      <c r="F146" s="271">
        <v>192</v>
      </c>
      <c r="G146" s="342"/>
      <c r="H146" s="276" t="s">
        <v>311</v>
      </c>
      <c r="I146" s="342"/>
      <c r="J146" s="276" t="s">
        <v>311</v>
      </c>
      <c r="K146" s="342">
        <f t="shared" si="2"/>
        <v>0</v>
      </c>
    </row>
    <row r="147" spans="2:11">
      <c r="B147" s="413">
        <v>4</v>
      </c>
      <c r="C147" s="413" t="s">
        <v>4</v>
      </c>
      <c r="D147" s="317" t="s">
        <v>145</v>
      </c>
      <c r="E147" s="317" t="s">
        <v>13</v>
      </c>
      <c r="F147" s="271">
        <v>144</v>
      </c>
      <c r="G147" s="342"/>
      <c r="H147" s="276" t="s">
        <v>311</v>
      </c>
      <c r="I147" s="342"/>
      <c r="J147" s="276" t="s">
        <v>311</v>
      </c>
      <c r="K147" s="342">
        <f t="shared" si="2"/>
        <v>0</v>
      </c>
    </row>
    <row r="148" spans="2:11">
      <c r="B148" s="413"/>
      <c r="C148" s="413"/>
      <c r="D148" s="317" t="s">
        <v>146</v>
      </c>
      <c r="E148" s="317" t="s">
        <v>17</v>
      </c>
      <c r="F148" s="271">
        <v>96</v>
      </c>
      <c r="G148" s="342">
        <v>9600</v>
      </c>
      <c r="H148" s="276">
        <v>33649748</v>
      </c>
      <c r="I148" s="342"/>
      <c r="J148" s="276"/>
      <c r="K148" s="342">
        <f t="shared" si="2"/>
        <v>9600</v>
      </c>
    </row>
    <row r="149" spans="2:11">
      <c r="B149" s="413"/>
      <c r="C149" s="413"/>
      <c r="D149" s="317" t="s">
        <v>147</v>
      </c>
      <c r="E149" s="317" t="s">
        <v>18</v>
      </c>
      <c r="F149" s="271">
        <v>96</v>
      </c>
      <c r="G149" s="342">
        <v>9600</v>
      </c>
      <c r="H149" s="276">
        <v>33649749</v>
      </c>
      <c r="I149" s="342"/>
      <c r="J149" s="276"/>
      <c r="K149" s="342">
        <f t="shared" si="2"/>
        <v>9600</v>
      </c>
    </row>
    <row r="150" spans="2:11">
      <c r="B150" s="413"/>
      <c r="C150" s="413"/>
      <c r="D150" s="317" t="s">
        <v>148</v>
      </c>
      <c r="E150" s="317" t="s">
        <v>19</v>
      </c>
      <c r="F150" s="271">
        <v>96</v>
      </c>
      <c r="G150" s="342">
        <v>9600</v>
      </c>
      <c r="H150" s="276">
        <v>33649750</v>
      </c>
      <c r="I150" s="342"/>
      <c r="J150" s="276"/>
      <c r="K150" s="342">
        <f t="shared" si="2"/>
        <v>9600</v>
      </c>
    </row>
    <row r="151" spans="2:11">
      <c r="B151" s="413"/>
      <c r="C151" s="413"/>
      <c r="D151" s="317" t="s">
        <v>149</v>
      </c>
      <c r="E151" s="317" t="s">
        <v>20</v>
      </c>
      <c r="F151" s="271">
        <v>118</v>
      </c>
      <c r="G151" s="342">
        <v>11800</v>
      </c>
      <c r="H151" s="276">
        <v>33649751</v>
      </c>
      <c r="I151" s="342"/>
      <c r="J151" s="276"/>
      <c r="K151" s="342">
        <f t="shared" si="2"/>
        <v>11800</v>
      </c>
    </row>
    <row r="152" spans="2:11">
      <c r="B152" s="413"/>
      <c r="C152" s="413"/>
      <c r="D152" s="317" t="s">
        <v>150</v>
      </c>
      <c r="E152" s="317" t="s">
        <v>20</v>
      </c>
      <c r="F152" s="271">
        <v>118</v>
      </c>
      <c r="G152" s="342">
        <v>11800</v>
      </c>
      <c r="H152" s="276">
        <v>33649752</v>
      </c>
      <c r="I152" s="342"/>
      <c r="J152" s="276"/>
      <c r="K152" s="342">
        <f t="shared" si="2"/>
        <v>11800</v>
      </c>
    </row>
    <row r="153" spans="2:11">
      <c r="B153" s="413"/>
      <c r="C153" s="413"/>
      <c r="D153" s="317" t="s">
        <v>151</v>
      </c>
      <c r="E153" s="317" t="s">
        <v>21</v>
      </c>
      <c r="F153" s="271">
        <v>96</v>
      </c>
      <c r="G153" s="342">
        <v>9600</v>
      </c>
      <c r="H153" s="276">
        <v>33649753</v>
      </c>
      <c r="I153" s="342">
        <f>G153</f>
        <v>9600</v>
      </c>
      <c r="J153" s="276" t="s">
        <v>314</v>
      </c>
      <c r="K153" s="342">
        <f t="shared" si="2"/>
        <v>0</v>
      </c>
    </row>
    <row r="154" spans="2:11">
      <c r="B154" s="413"/>
      <c r="C154" s="413"/>
      <c r="D154" s="317" t="s">
        <v>152</v>
      </c>
      <c r="E154" s="317" t="s">
        <v>12</v>
      </c>
      <c r="F154" s="271">
        <v>96</v>
      </c>
      <c r="G154" s="342"/>
      <c r="H154" s="276" t="s">
        <v>311</v>
      </c>
      <c r="I154" s="342"/>
      <c r="J154" s="276" t="s">
        <v>311</v>
      </c>
      <c r="K154" s="342">
        <f t="shared" si="2"/>
        <v>0</v>
      </c>
    </row>
    <row r="155" spans="2:11">
      <c r="B155" s="413"/>
      <c r="C155" s="413"/>
      <c r="D155" s="317" t="s">
        <v>153</v>
      </c>
      <c r="E155" s="317" t="s">
        <v>22</v>
      </c>
      <c r="F155" s="271">
        <v>96</v>
      </c>
      <c r="G155" s="342">
        <v>9600</v>
      </c>
      <c r="H155" s="276">
        <v>33649754</v>
      </c>
      <c r="I155" s="342"/>
      <c r="J155" s="276"/>
      <c r="K155" s="342">
        <f t="shared" si="2"/>
        <v>9600</v>
      </c>
    </row>
    <row r="156" spans="2:11">
      <c r="B156" s="413"/>
      <c r="C156" s="413"/>
      <c r="D156" s="317" t="s">
        <v>154</v>
      </c>
      <c r="E156" s="317" t="s">
        <v>13</v>
      </c>
      <c r="F156" s="271">
        <v>144</v>
      </c>
      <c r="G156" s="342"/>
      <c r="H156" s="276" t="s">
        <v>311</v>
      </c>
      <c r="I156" s="342"/>
      <c r="J156" s="276" t="s">
        <v>311</v>
      </c>
      <c r="K156" s="342">
        <f t="shared" si="2"/>
        <v>0</v>
      </c>
    </row>
    <row r="157" spans="2:11">
      <c r="B157" s="413">
        <v>5</v>
      </c>
      <c r="C157" s="413" t="s">
        <v>34</v>
      </c>
      <c r="D157" s="317" t="s">
        <v>126</v>
      </c>
      <c r="E157" s="317" t="s">
        <v>35</v>
      </c>
      <c r="F157" s="271">
        <v>96</v>
      </c>
      <c r="G157" s="342">
        <v>28800</v>
      </c>
      <c r="H157" s="276">
        <v>33649763</v>
      </c>
      <c r="I157" s="342"/>
      <c r="J157" s="276"/>
      <c r="K157" s="342">
        <f t="shared" si="2"/>
        <v>28800</v>
      </c>
    </row>
    <row r="158" spans="2:11">
      <c r="B158" s="413"/>
      <c r="C158" s="413"/>
      <c r="D158" s="317" t="s">
        <v>127</v>
      </c>
      <c r="E158" s="317" t="s">
        <v>36</v>
      </c>
      <c r="F158" s="271">
        <v>96</v>
      </c>
      <c r="G158" s="342">
        <v>28800</v>
      </c>
      <c r="H158" s="276">
        <v>33649764</v>
      </c>
      <c r="I158" s="342"/>
      <c r="J158" s="276"/>
      <c r="K158" s="342">
        <f t="shared" si="2"/>
        <v>28800</v>
      </c>
    </row>
    <row r="159" spans="2:11">
      <c r="B159" s="413"/>
      <c r="C159" s="413"/>
      <c r="D159" s="317" t="s">
        <v>128</v>
      </c>
      <c r="E159" s="317" t="s">
        <v>12</v>
      </c>
      <c r="F159" s="271">
        <v>99</v>
      </c>
      <c r="G159" s="342"/>
      <c r="H159" s="276" t="s">
        <v>311</v>
      </c>
      <c r="I159" s="342"/>
      <c r="J159" s="276" t="s">
        <v>311</v>
      </c>
      <c r="K159" s="342">
        <f t="shared" si="2"/>
        <v>0</v>
      </c>
    </row>
    <row r="160" spans="2:11">
      <c r="B160" s="413"/>
      <c r="C160" s="413"/>
      <c r="D160" s="317" t="s">
        <v>129</v>
      </c>
      <c r="E160" s="317" t="s">
        <v>12</v>
      </c>
      <c r="F160" s="271">
        <v>147</v>
      </c>
      <c r="G160" s="342"/>
      <c r="H160" s="276" t="s">
        <v>311</v>
      </c>
      <c r="I160" s="342"/>
      <c r="J160" s="276" t="s">
        <v>311</v>
      </c>
      <c r="K160" s="342">
        <f t="shared" si="2"/>
        <v>0</v>
      </c>
    </row>
    <row r="161" spans="2:11">
      <c r="B161" s="413">
        <v>6</v>
      </c>
      <c r="C161" s="413" t="s">
        <v>53</v>
      </c>
      <c r="D161" s="317" t="s">
        <v>132</v>
      </c>
      <c r="E161" s="317" t="s">
        <v>158</v>
      </c>
      <c r="F161" s="271">
        <v>144</v>
      </c>
      <c r="G161" s="342"/>
      <c r="H161" s="276" t="s">
        <v>311</v>
      </c>
      <c r="I161" s="342"/>
      <c r="J161" s="276" t="s">
        <v>311</v>
      </c>
      <c r="K161" s="342">
        <f t="shared" si="2"/>
        <v>0</v>
      </c>
    </row>
    <row r="162" spans="2:11">
      <c r="B162" s="413"/>
      <c r="C162" s="413"/>
      <c r="D162" s="317" t="s">
        <v>133</v>
      </c>
      <c r="E162" s="317" t="s">
        <v>26</v>
      </c>
      <c r="F162" s="271">
        <v>98</v>
      </c>
      <c r="G162" s="342">
        <v>19600</v>
      </c>
      <c r="H162" s="276">
        <v>33649755</v>
      </c>
      <c r="I162" s="342"/>
      <c r="J162" s="276" t="s">
        <v>354</v>
      </c>
      <c r="K162" s="342">
        <f t="shared" si="2"/>
        <v>19600</v>
      </c>
    </row>
    <row r="163" spans="2:11">
      <c r="B163" s="413"/>
      <c r="C163" s="413"/>
      <c r="D163" s="317" t="s">
        <v>134</v>
      </c>
      <c r="E163" s="317" t="s">
        <v>27</v>
      </c>
      <c r="F163" s="271">
        <v>98</v>
      </c>
      <c r="G163" s="342">
        <v>19600</v>
      </c>
      <c r="H163" s="276">
        <v>33649756</v>
      </c>
      <c r="I163" s="342"/>
      <c r="J163" s="276"/>
      <c r="K163" s="342">
        <f t="shared" si="2"/>
        <v>19600</v>
      </c>
    </row>
    <row r="164" spans="2:11">
      <c r="B164" s="413"/>
      <c r="C164" s="413"/>
      <c r="D164" s="317" t="s">
        <v>135</v>
      </c>
      <c r="E164" s="317" t="s">
        <v>28</v>
      </c>
      <c r="F164" s="271">
        <v>99</v>
      </c>
      <c r="G164" s="342">
        <v>19200</v>
      </c>
      <c r="H164" s="276">
        <v>33649757</v>
      </c>
      <c r="I164" s="342">
        <f>G164</f>
        <v>19200</v>
      </c>
      <c r="J164" s="281">
        <v>46271</v>
      </c>
      <c r="K164" s="342">
        <f t="shared" si="2"/>
        <v>0</v>
      </c>
    </row>
    <row r="165" spans="2:11">
      <c r="B165" s="413"/>
      <c r="C165" s="413"/>
      <c r="D165" s="317" t="s">
        <v>136</v>
      </c>
      <c r="E165" s="317" t="s">
        <v>29</v>
      </c>
      <c r="F165" s="271">
        <v>96</v>
      </c>
      <c r="G165" s="342">
        <v>19200</v>
      </c>
      <c r="H165" s="276">
        <v>33649758</v>
      </c>
      <c r="I165" s="342">
        <f>G165</f>
        <v>19200</v>
      </c>
      <c r="J165" s="281">
        <v>46271</v>
      </c>
      <c r="K165" s="342">
        <f t="shared" si="2"/>
        <v>0</v>
      </c>
    </row>
    <row r="166" spans="2:11">
      <c r="B166" s="413"/>
      <c r="C166" s="413"/>
      <c r="D166" s="317" t="s">
        <v>137</v>
      </c>
      <c r="E166" s="317" t="s">
        <v>30</v>
      </c>
      <c r="F166" s="271">
        <v>96</v>
      </c>
      <c r="G166" s="342">
        <v>19200</v>
      </c>
      <c r="H166" s="276">
        <v>33649759</v>
      </c>
      <c r="I166" s="342">
        <f>G166</f>
        <v>19200</v>
      </c>
      <c r="J166" s="276" t="s">
        <v>313</v>
      </c>
      <c r="K166" s="342">
        <f t="shared" si="2"/>
        <v>0</v>
      </c>
    </row>
    <row r="167" spans="2:11">
      <c r="B167" s="413"/>
      <c r="C167" s="413"/>
      <c r="D167" s="317" t="s">
        <v>138</v>
      </c>
      <c r="E167" s="317" t="s">
        <v>31</v>
      </c>
      <c r="F167" s="271">
        <v>147</v>
      </c>
      <c r="G167" s="342">
        <v>29400</v>
      </c>
      <c r="H167" s="276">
        <v>33649760</v>
      </c>
      <c r="I167" s="342"/>
      <c r="J167" s="276"/>
      <c r="K167" s="342">
        <f t="shared" si="2"/>
        <v>29400</v>
      </c>
    </row>
    <row r="168" spans="2:11">
      <c r="B168" s="413"/>
      <c r="C168" s="413"/>
      <c r="D168" s="317" t="s">
        <v>139</v>
      </c>
      <c r="E168" s="317" t="s">
        <v>158</v>
      </c>
      <c r="F168" s="271">
        <v>147</v>
      </c>
      <c r="G168" s="342"/>
      <c r="H168" s="276" t="s">
        <v>311</v>
      </c>
      <c r="I168" s="342"/>
      <c r="J168" s="276" t="s">
        <v>311</v>
      </c>
      <c r="K168" s="342">
        <f t="shared" si="2"/>
        <v>0</v>
      </c>
    </row>
    <row r="169" spans="2:11">
      <c r="B169" s="413"/>
      <c r="C169" s="413"/>
      <c r="D169" s="317" t="s">
        <v>140</v>
      </c>
      <c r="E169" s="317" t="s">
        <v>32</v>
      </c>
      <c r="F169" s="271">
        <v>99</v>
      </c>
      <c r="G169" s="342">
        <v>19800</v>
      </c>
      <c r="H169" s="276">
        <v>33649761</v>
      </c>
      <c r="I169" s="342"/>
      <c r="J169" s="276"/>
      <c r="K169" s="342">
        <f t="shared" si="2"/>
        <v>19800</v>
      </c>
    </row>
    <row r="170" spans="2:11">
      <c r="B170" s="413"/>
      <c r="C170" s="413"/>
      <c r="D170" s="317" t="s">
        <v>141</v>
      </c>
      <c r="E170" s="317" t="s">
        <v>158</v>
      </c>
      <c r="F170" s="271">
        <v>192</v>
      </c>
      <c r="G170" s="342"/>
      <c r="H170" s="276" t="s">
        <v>311</v>
      </c>
      <c r="I170" s="342"/>
      <c r="J170" s="276" t="s">
        <v>311</v>
      </c>
      <c r="K170" s="342">
        <f t="shared" si="2"/>
        <v>0</v>
      </c>
    </row>
    <row r="171" spans="2:11">
      <c r="B171" s="413"/>
      <c r="C171" s="413"/>
      <c r="D171" s="317" t="s">
        <v>142</v>
      </c>
      <c r="E171" s="317" t="s">
        <v>13</v>
      </c>
      <c r="F171" s="271">
        <v>96</v>
      </c>
      <c r="G171" s="342"/>
      <c r="H171" s="276" t="s">
        <v>311</v>
      </c>
      <c r="I171" s="342"/>
      <c r="J171" s="276" t="s">
        <v>311</v>
      </c>
      <c r="K171" s="342">
        <f t="shared" si="2"/>
        <v>0</v>
      </c>
    </row>
    <row r="172" spans="2:11">
      <c r="B172" s="413"/>
      <c r="C172" s="413"/>
      <c r="D172" s="317" t="s">
        <v>143</v>
      </c>
      <c r="E172" s="317" t="s">
        <v>158</v>
      </c>
      <c r="F172" s="271">
        <v>96</v>
      </c>
      <c r="G172" s="342"/>
      <c r="H172" s="276" t="s">
        <v>311</v>
      </c>
      <c r="I172" s="342"/>
      <c r="J172" s="276" t="s">
        <v>311</v>
      </c>
      <c r="K172" s="342">
        <f t="shared" si="2"/>
        <v>0</v>
      </c>
    </row>
    <row r="173" spans="2:11">
      <c r="B173" s="317">
        <v>7</v>
      </c>
      <c r="C173" s="317" t="s">
        <v>55</v>
      </c>
      <c r="D173" s="317" t="s">
        <v>144</v>
      </c>
      <c r="E173" s="317" t="s">
        <v>33</v>
      </c>
      <c r="F173" s="271">
        <v>96</v>
      </c>
      <c r="G173" s="342">
        <v>28800</v>
      </c>
      <c r="H173" s="276">
        <v>33649762</v>
      </c>
      <c r="I173" s="342">
        <f>G173</f>
        <v>28800</v>
      </c>
      <c r="J173" s="276" t="s">
        <v>315</v>
      </c>
      <c r="K173" s="342">
        <f t="shared" si="2"/>
        <v>0</v>
      </c>
    </row>
    <row r="174" spans="2:11">
      <c r="B174" s="273"/>
      <c r="C174" s="273"/>
      <c r="D174" s="273"/>
      <c r="E174" s="273"/>
      <c r="F174" s="274"/>
      <c r="G174" s="342"/>
      <c r="H174" s="327"/>
      <c r="I174" s="342"/>
      <c r="J174" s="327"/>
      <c r="K174" s="342"/>
    </row>
    <row r="175" spans="2:11">
      <c r="B175" s="412" t="s">
        <v>47</v>
      </c>
      <c r="C175" s="412"/>
      <c r="D175" s="412"/>
      <c r="E175" s="412"/>
      <c r="F175" s="412"/>
      <c r="G175" s="351">
        <f>SUM(G137:G173)</f>
        <v>318400</v>
      </c>
      <c r="H175" s="329"/>
      <c r="I175" s="351">
        <f>SUM(I137:I173)</f>
        <v>110400</v>
      </c>
      <c r="J175" s="329"/>
      <c r="K175" s="351">
        <f>SUM(K137:K173)</f>
        <v>208000</v>
      </c>
    </row>
    <row r="179" spans="2:11" ht="21">
      <c r="B179" s="414" t="s">
        <v>220</v>
      </c>
      <c r="C179" s="414"/>
      <c r="D179" s="414"/>
      <c r="E179" s="414"/>
      <c r="F179" s="414"/>
      <c r="G179" s="414"/>
      <c r="H179" s="414"/>
      <c r="I179" s="414"/>
      <c r="J179" s="414"/>
      <c r="K179" s="414"/>
    </row>
    <row r="180" spans="2:11" s="322" customFormat="1" ht="15.75">
      <c r="B180" s="336" t="s">
        <v>161</v>
      </c>
      <c r="C180" s="336" t="s">
        <v>0</v>
      </c>
      <c r="D180" s="336" t="s">
        <v>160</v>
      </c>
      <c r="E180" s="336" t="s">
        <v>46</v>
      </c>
      <c r="F180" s="336" t="s">
        <v>162</v>
      </c>
      <c r="G180" s="341" t="s">
        <v>168</v>
      </c>
      <c r="H180" s="334" t="s">
        <v>307</v>
      </c>
      <c r="I180" s="346" t="s">
        <v>454</v>
      </c>
      <c r="J180" s="357" t="s">
        <v>308</v>
      </c>
      <c r="K180" s="358" t="s">
        <v>455</v>
      </c>
    </row>
    <row r="181" spans="2:11">
      <c r="B181" s="413">
        <v>1</v>
      </c>
      <c r="C181" s="413" t="s">
        <v>7</v>
      </c>
      <c r="D181" s="317" t="s">
        <v>115</v>
      </c>
      <c r="E181" s="317" t="s">
        <v>14</v>
      </c>
      <c r="F181" s="271">
        <v>96</v>
      </c>
      <c r="G181" s="342"/>
      <c r="H181" s="276" t="s">
        <v>311</v>
      </c>
      <c r="I181" s="342"/>
      <c r="J181" s="276" t="s">
        <v>311</v>
      </c>
      <c r="K181" s="344">
        <f>G181-I181</f>
        <v>0</v>
      </c>
    </row>
    <row r="182" spans="2:11">
      <c r="B182" s="413"/>
      <c r="C182" s="413"/>
      <c r="D182" s="317" t="s">
        <v>116</v>
      </c>
      <c r="E182" s="317" t="s">
        <v>15</v>
      </c>
      <c r="F182" s="271">
        <v>96</v>
      </c>
      <c r="G182" s="342"/>
      <c r="H182" s="276" t="s">
        <v>311</v>
      </c>
      <c r="I182" s="342"/>
      <c r="J182" s="276" t="s">
        <v>311</v>
      </c>
      <c r="K182" s="344">
        <f t="shared" ref="K182:K217" si="3">G182-I182</f>
        <v>0</v>
      </c>
    </row>
    <row r="183" spans="2:11" ht="15.75">
      <c r="B183" s="317">
        <v>2</v>
      </c>
      <c r="C183" s="317" t="s">
        <v>8</v>
      </c>
      <c r="D183" s="317" t="s">
        <v>112</v>
      </c>
      <c r="E183" s="317" t="s">
        <v>16</v>
      </c>
      <c r="F183" s="271">
        <v>96</v>
      </c>
      <c r="G183" s="342">
        <v>14400</v>
      </c>
      <c r="H183" s="324">
        <v>33394946</v>
      </c>
      <c r="I183" s="347">
        <f>G183</f>
        <v>14400</v>
      </c>
      <c r="J183" s="281" t="s">
        <v>453</v>
      </c>
      <c r="K183" s="344">
        <f t="shared" si="3"/>
        <v>0</v>
      </c>
    </row>
    <row r="184" spans="2:11">
      <c r="B184" s="413">
        <v>3</v>
      </c>
      <c r="C184" s="413" t="s">
        <v>5</v>
      </c>
      <c r="D184" s="317" t="s">
        <v>102</v>
      </c>
      <c r="E184" s="317" t="s">
        <v>23</v>
      </c>
      <c r="F184" s="271">
        <v>96</v>
      </c>
      <c r="G184" s="342"/>
      <c r="H184" s="276" t="s">
        <v>311</v>
      </c>
      <c r="I184" s="348"/>
      <c r="J184" s="276" t="s">
        <v>311</v>
      </c>
      <c r="K184" s="344">
        <f t="shared" si="3"/>
        <v>0</v>
      </c>
    </row>
    <row r="185" spans="2:11">
      <c r="B185" s="413"/>
      <c r="C185" s="413"/>
      <c r="D185" s="317" t="s">
        <v>117</v>
      </c>
      <c r="E185" s="317" t="s">
        <v>158</v>
      </c>
      <c r="F185" s="271">
        <v>98</v>
      </c>
      <c r="G185" s="342"/>
      <c r="H185" s="276" t="s">
        <v>311</v>
      </c>
      <c r="I185" s="348"/>
      <c r="J185" s="276" t="s">
        <v>311</v>
      </c>
      <c r="K185" s="344">
        <f t="shared" si="3"/>
        <v>0</v>
      </c>
    </row>
    <row r="186" spans="2:11">
      <c r="B186" s="413"/>
      <c r="C186" s="413"/>
      <c r="D186" s="317" t="s">
        <v>118</v>
      </c>
      <c r="E186" s="317" t="s">
        <v>158</v>
      </c>
      <c r="F186" s="271">
        <v>99</v>
      </c>
      <c r="G186" s="342"/>
      <c r="H186" s="276" t="s">
        <v>311</v>
      </c>
      <c r="I186" s="348"/>
      <c r="J186" s="276" t="s">
        <v>311</v>
      </c>
      <c r="K186" s="344">
        <f t="shared" si="3"/>
        <v>0</v>
      </c>
    </row>
    <row r="187" spans="2:11">
      <c r="B187" s="413"/>
      <c r="C187" s="413"/>
      <c r="D187" s="317" t="s">
        <v>119</v>
      </c>
      <c r="E187" s="317" t="s">
        <v>158</v>
      </c>
      <c r="F187" s="271">
        <v>147</v>
      </c>
      <c r="G187" s="342"/>
      <c r="H187" s="276" t="s">
        <v>311</v>
      </c>
      <c r="I187" s="348"/>
      <c r="J187" s="276" t="s">
        <v>311</v>
      </c>
      <c r="K187" s="344">
        <f t="shared" si="3"/>
        <v>0</v>
      </c>
    </row>
    <row r="188" spans="2:11">
      <c r="B188" s="413"/>
      <c r="C188" s="413"/>
      <c r="D188" s="317" t="s">
        <v>120</v>
      </c>
      <c r="E188" s="317" t="s">
        <v>158</v>
      </c>
      <c r="F188" s="271">
        <v>147</v>
      </c>
      <c r="G188" s="342"/>
      <c r="H188" s="276" t="s">
        <v>311</v>
      </c>
      <c r="I188" s="348"/>
      <c r="J188" s="276" t="s">
        <v>311</v>
      </c>
      <c r="K188" s="344">
        <f t="shared" si="3"/>
        <v>0</v>
      </c>
    </row>
    <row r="189" spans="2:11">
      <c r="B189" s="413"/>
      <c r="C189" s="413"/>
      <c r="D189" s="317" t="s">
        <v>121</v>
      </c>
      <c r="E189" s="317" t="s">
        <v>13</v>
      </c>
      <c r="F189" s="271">
        <v>99</v>
      </c>
      <c r="G189" s="342"/>
      <c r="H189" s="276" t="s">
        <v>311</v>
      </c>
      <c r="I189" s="348"/>
      <c r="J189" s="276" t="s">
        <v>311</v>
      </c>
      <c r="K189" s="344">
        <f t="shared" si="3"/>
        <v>0</v>
      </c>
    </row>
    <row r="190" spans="2:11">
      <c r="B190" s="413"/>
      <c r="C190" s="413"/>
      <c r="D190" s="317" t="s">
        <v>122</v>
      </c>
      <c r="E190" s="317" t="s">
        <v>158</v>
      </c>
      <c r="F190" s="271">
        <v>192</v>
      </c>
      <c r="G190" s="342"/>
      <c r="H190" s="276" t="s">
        <v>311</v>
      </c>
      <c r="I190" s="348"/>
      <c r="J190" s="276" t="s">
        <v>311</v>
      </c>
      <c r="K190" s="344">
        <f t="shared" si="3"/>
        <v>0</v>
      </c>
    </row>
    <row r="191" spans="2:11">
      <c r="B191" s="413">
        <v>4</v>
      </c>
      <c r="C191" s="413" t="s">
        <v>4</v>
      </c>
      <c r="D191" s="317" t="s">
        <v>145</v>
      </c>
      <c r="E191" s="317" t="s">
        <v>13</v>
      </c>
      <c r="F191" s="271">
        <v>144</v>
      </c>
      <c r="G191" s="342"/>
      <c r="H191" s="276" t="s">
        <v>311</v>
      </c>
      <c r="I191" s="348"/>
      <c r="J191" s="276" t="s">
        <v>311</v>
      </c>
      <c r="K191" s="344">
        <f t="shared" si="3"/>
        <v>0</v>
      </c>
    </row>
    <row r="192" spans="2:11" ht="15.75">
      <c r="B192" s="413"/>
      <c r="C192" s="413"/>
      <c r="D192" s="317" t="s">
        <v>146</v>
      </c>
      <c r="E192" s="317" t="s">
        <v>17</v>
      </c>
      <c r="F192" s="271">
        <v>96</v>
      </c>
      <c r="G192" s="342">
        <v>9600</v>
      </c>
      <c r="H192" s="324">
        <v>33649770</v>
      </c>
      <c r="I192" s="347"/>
      <c r="J192" s="276"/>
      <c r="K192" s="344">
        <f t="shared" si="3"/>
        <v>9600</v>
      </c>
    </row>
    <row r="193" spans="2:13" ht="15.75">
      <c r="B193" s="413"/>
      <c r="C193" s="413"/>
      <c r="D193" s="317" t="s">
        <v>147</v>
      </c>
      <c r="E193" s="317" t="s">
        <v>18</v>
      </c>
      <c r="F193" s="271">
        <v>96</v>
      </c>
      <c r="G193" s="342">
        <v>9600</v>
      </c>
      <c r="H193" s="324">
        <v>33649769</v>
      </c>
      <c r="I193" s="347"/>
      <c r="J193" s="276"/>
      <c r="K193" s="344">
        <f t="shared" si="3"/>
        <v>9600</v>
      </c>
    </row>
    <row r="194" spans="2:13" ht="15.75">
      <c r="B194" s="413"/>
      <c r="C194" s="413"/>
      <c r="D194" s="317" t="s">
        <v>148</v>
      </c>
      <c r="E194" s="317" t="s">
        <v>19</v>
      </c>
      <c r="F194" s="271">
        <v>96</v>
      </c>
      <c r="G194" s="342">
        <v>9600</v>
      </c>
      <c r="H194" s="324">
        <v>33649771</v>
      </c>
      <c r="I194" s="347"/>
      <c r="J194" s="276"/>
      <c r="K194" s="344">
        <f t="shared" si="3"/>
        <v>9600</v>
      </c>
    </row>
    <row r="195" spans="2:13" ht="15.75">
      <c r="B195" s="413"/>
      <c r="C195" s="413"/>
      <c r="D195" s="317" t="s">
        <v>149</v>
      </c>
      <c r="E195" s="317" t="s">
        <v>20</v>
      </c>
      <c r="F195" s="271">
        <v>118</v>
      </c>
      <c r="G195" s="342">
        <v>11800</v>
      </c>
      <c r="H195" s="324">
        <v>33649772</v>
      </c>
      <c r="I195" s="347"/>
      <c r="J195" s="276"/>
      <c r="K195" s="344">
        <f t="shared" si="3"/>
        <v>11800</v>
      </c>
    </row>
    <row r="196" spans="2:13" ht="15.75">
      <c r="B196" s="413"/>
      <c r="C196" s="413"/>
      <c r="D196" s="317" t="s">
        <v>150</v>
      </c>
      <c r="E196" s="317" t="s">
        <v>20</v>
      </c>
      <c r="F196" s="271">
        <v>118</v>
      </c>
      <c r="G196" s="342">
        <v>11800</v>
      </c>
      <c r="H196" s="324">
        <v>33649773</v>
      </c>
      <c r="I196" s="347"/>
      <c r="J196" s="276"/>
      <c r="K196" s="344">
        <f t="shared" si="3"/>
        <v>11800</v>
      </c>
    </row>
    <row r="197" spans="2:13" ht="15.75">
      <c r="B197" s="413"/>
      <c r="C197" s="413"/>
      <c r="D197" s="317" t="s">
        <v>151</v>
      </c>
      <c r="E197" s="317" t="s">
        <v>21</v>
      </c>
      <c r="F197" s="271">
        <v>96</v>
      </c>
      <c r="G197" s="342">
        <v>9600</v>
      </c>
      <c r="H197" s="324">
        <v>33649774</v>
      </c>
      <c r="I197" s="347">
        <f>G197</f>
        <v>9600</v>
      </c>
      <c r="J197" s="281" t="s">
        <v>452</v>
      </c>
      <c r="K197" s="344">
        <f t="shared" si="3"/>
        <v>0</v>
      </c>
    </row>
    <row r="198" spans="2:13">
      <c r="B198" s="413"/>
      <c r="C198" s="413"/>
      <c r="D198" s="317" t="s">
        <v>152</v>
      </c>
      <c r="E198" s="317" t="s">
        <v>12</v>
      </c>
      <c r="F198" s="271">
        <v>96</v>
      </c>
      <c r="G198" s="342"/>
      <c r="H198" s="331" t="s">
        <v>311</v>
      </c>
      <c r="I198" s="348"/>
      <c r="J198" s="276" t="s">
        <v>311</v>
      </c>
      <c r="K198" s="344">
        <f t="shared" si="3"/>
        <v>0</v>
      </c>
    </row>
    <row r="199" spans="2:13" ht="15.75">
      <c r="B199" s="413"/>
      <c r="C199" s="413"/>
      <c r="D199" s="317" t="s">
        <v>153</v>
      </c>
      <c r="E199" s="317" t="s">
        <v>22</v>
      </c>
      <c r="F199" s="271">
        <v>96</v>
      </c>
      <c r="G199" s="342">
        <v>9600</v>
      </c>
      <c r="H199" s="324">
        <v>33649775</v>
      </c>
      <c r="I199" s="347"/>
      <c r="J199" s="276"/>
      <c r="K199" s="344">
        <f t="shared" si="3"/>
        <v>9600</v>
      </c>
    </row>
    <row r="200" spans="2:13">
      <c r="B200" s="413"/>
      <c r="C200" s="413"/>
      <c r="D200" s="317" t="s">
        <v>154</v>
      </c>
      <c r="E200" s="317" t="s">
        <v>13</v>
      </c>
      <c r="F200" s="271">
        <v>144</v>
      </c>
      <c r="G200" s="342"/>
      <c r="H200" s="331" t="s">
        <v>311</v>
      </c>
      <c r="I200" s="348"/>
      <c r="J200" s="276" t="s">
        <v>311</v>
      </c>
      <c r="K200" s="344">
        <f t="shared" si="3"/>
        <v>0</v>
      </c>
    </row>
    <row r="201" spans="2:13" ht="15.75">
      <c r="B201" s="413">
        <v>5</v>
      </c>
      <c r="C201" s="413" t="s">
        <v>34</v>
      </c>
      <c r="D201" s="317" t="s">
        <v>126</v>
      </c>
      <c r="E201" s="317" t="s">
        <v>35</v>
      </c>
      <c r="F201" s="271">
        <v>96</v>
      </c>
      <c r="G201" s="342">
        <v>28800</v>
      </c>
      <c r="H201" s="324">
        <v>33649783</v>
      </c>
      <c r="I201" s="347"/>
      <c r="J201" s="281">
        <v>46275</v>
      </c>
      <c r="K201" s="344">
        <f t="shared" si="3"/>
        <v>28800</v>
      </c>
      <c r="M201" s="268" t="s">
        <v>557</v>
      </c>
    </row>
    <row r="202" spans="2:13" ht="15.75">
      <c r="B202" s="413"/>
      <c r="C202" s="413"/>
      <c r="D202" s="317" t="s">
        <v>127</v>
      </c>
      <c r="E202" s="317" t="s">
        <v>36</v>
      </c>
      <c r="F202" s="271">
        <v>96</v>
      </c>
      <c r="G202" s="342">
        <v>28800</v>
      </c>
      <c r="H202" s="324">
        <v>33649784</v>
      </c>
      <c r="I202" s="347"/>
      <c r="J202" s="276"/>
      <c r="K202" s="344">
        <f t="shared" si="3"/>
        <v>28800</v>
      </c>
    </row>
    <row r="203" spans="2:13">
      <c r="B203" s="413"/>
      <c r="C203" s="413"/>
      <c r="D203" s="317" t="s">
        <v>128</v>
      </c>
      <c r="E203" s="317" t="s">
        <v>12</v>
      </c>
      <c r="F203" s="271">
        <v>99</v>
      </c>
      <c r="G203" s="342"/>
      <c r="H203" s="276" t="s">
        <v>311</v>
      </c>
      <c r="I203" s="342"/>
      <c r="J203" s="276" t="s">
        <v>311</v>
      </c>
      <c r="K203" s="344">
        <f t="shared" si="3"/>
        <v>0</v>
      </c>
    </row>
    <row r="204" spans="2:13">
      <c r="B204" s="413"/>
      <c r="C204" s="413"/>
      <c r="D204" s="317" t="s">
        <v>129</v>
      </c>
      <c r="E204" s="317" t="s">
        <v>12</v>
      </c>
      <c r="F204" s="271">
        <v>147</v>
      </c>
      <c r="G204" s="342"/>
      <c r="H204" s="276" t="s">
        <v>311</v>
      </c>
      <c r="I204" s="342"/>
      <c r="J204" s="276" t="s">
        <v>311</v>
      </c>
      <c r="K204" s="344">
        <f t="shared" si="3"/>
        <v>0</v>
      </c>
    </row>
    <row r="205" spans="2:13">
      <c r="B205" s="413">
        <v>6</v>
      </c>
      <c r="C205" s="413" t="s">
        <v>53</v>
      </c>
      <c r="D205" s="317" t="s">
        <v>132</v>
      </c>
      <c r="E205" s="317" t="s">
        <v>158</v>
      </c>
      <c r="F205" s="271">
        <v>144</v>
      </c>
      <c r="G205" s="342"/>
      <c r="H205" s="276" t="s">
        <v>311</v>
      </c>
      <c r="I205" s="342"/>
      <c r="J205" s="276" t="s">
        <v>311</v>
      </c>
      <c r="K205" s="344">
        <f t="shared" si="3"/>
        <v>0</v>
      </c>
    </row>
    <row r="206" spans="2:13" ht="15.75">
      <c r="B206" s="413"/>
      <c r="C206" s="413"/>
      <c r="D206" s="317" t="s">
        <v>133</v>
      </c>
      <c r="E206" s="317" t="s">
        <v>26</v>
      </c>
      <c r="F206" s="271">
        <v>98</v>
      </c>
      <c r="G206" s="342">
        <v>19600</v>
      </c>
      <c r="H206" s="324">
        <v>33649776</v>
      </c>
      <c r="I206" s="347">
        <f>G206</f>
        <v>19600</v>
      </c>
      <c r="J206" s="281">
        <v>46303</v>
      </c>
      <c r="K206" s="344">
        <f t="shared" si="3"/>
        <v>0</v>
      </c>
    </row>
    <row r="207" spans="2:13" ht="15.75">
      <c r="B207" s="413"/>
      <c r="C207" s="413"/>
      <c r="D207" s="317" t="s">
        <v>134</v>
      </c>
      <c r="E207" s="317" t="s">
        <v>27</v>
      </c>
      <c r="F207" s="271">
        <v>98</v>
      </c>
      <c r="G207" s="342">
        <v>19600</v>
      </c>
      <c r="H207" s="324">
        <v>33649777</v>
      </c>
      <c r="I207" s="347"/>
      <c r="J207" s="276"/>
      <c r="K207" s="344">
        <f t="shared" si="3"/>
        <v>19600</v>
      </c>
    </row>
    <row r="208" spans="2:13" ht="15.75">
      <c r="B208" s="413"/>
      <c r="C208" s="413"/>
      <c r="D208" s="317" t="s">
        <v>135</v>
      </c>
      <c r="E208" s="317" t="s">
        <v>28</v>
      </c>
      <c r="F208" s="271">
        <v>99</v>
      </c>
      <c r="G208" s="342">
        <v>19200</v>
      </c>
      <c r="H208" s="324">
        <v>33649778</v>
      </c>
      <c r="I208" s="347">
        <f>G208</f>
        <v>19200</v>
      </c>
      <c r="J208" s="281">
        <v>46088</v>
      </c>
      <c r="K208" s="344">
        <f t="shared" si="3"/>
        <v>0</v>
      </c>
    </row>
    <row r="209" spans="2:11" ht="15.75">
      <c r="B209" s="413"/>
      <c r="C209" s="413"/>
      <c r="D209" s="317" t="s">
        <v>136</v>
      </c>
      <c r="E209" s="317" t="s">
        <v>29</v>
      </c>
      <c r="F209" s="271">
        <v>96</v>
      </c>
      <c r="G209" s="342">
        <v>19200</v>
      </c>
      <c r="H209" s="324">
        <v>33649800</v>
      </c>
      <c r="I209" s="347">
        <f>G209</f>
        <v>19200</v>
      </c>
      <c r="J209" s="281">
        <v>46088</v>
      </c>
      <c r="K209" s="344">
        <f t="shared" si="3"/>
        <v>0</v>
      </c>
    </row>
    <row r="210" spans="2:11" ht="15.75">
      <c r="B210" s="413"/>
      <c r="C210" s="413"/>
      <c r="D210" s="317" t="s">
        <v>137</v>
      </c>
      <c r="E210" s="317" t="s">
        <v>30</v>
      </c>
      <c r="F210" s="271">
        <v>96</v>
      </c>
      <c r="G210" s="342">
        <v>19200</v>
      </c>
      <c r="H210" s="324">
        <v>33649780</v>
      </c>
      <c r="I210" s="347">
        <f>G210</f>
        <v>19200</v>
      </c>
      <c r="J210" s="281">
        <v>46060</v>
      </c>
      <c r="K210" s="344">
        <f t="shared" si="3"/>
        <v>0</v>
      </c>
    </row>
    <row r="211" spans="2:11" ht="15.75">
      <c r="B211" s="413"/>
      <c r="C211" s="413"/>
      <c r="D211" s="317" t="s">
        <v>138</v>
      </c>
      <c r="E211" s="317" t="s">
        <v>31</v>
      </c>
      <c r="F211" s="271">
        <v>147</v>
      </c>
      <c r="G211" s="342">
        <v>29400</v>
      </c>
      <c r="H211" s="324">
        <v>33649781</v>
      </c>
      <c r="I211" s="347"/>
      <c r="J211" s="276"/>
      <c r="K211" s="344">
        <f t="shared" si="3"/>
        <v>29400</v>
      </c>
    </row>
    <row r="212" spans="2:11">
      <c r="B212" s="413"/>
      <c r="C212" s="413"/>
      <c r="D212" s="317" t="s">
        <v>139</v>
      </c>
      <c r="E212" s="317" t="s">
        <v>158</v>
      </c>
      <c r="F212" s="271">
        <v>147</v>
      </c>
      <c r="G212" s="342"/>
      <c r="H212" s="333" t="s">
        <v>311</v>
      </c>
      <c r="I212" s="348"/>
      <c r="J212" s="276" t="s">
        <v>311</v>
      </c>
      <c r="K212" s="344">
        <f t="shared" si="3"/>
        <v>0</v>
      </c>
    </row>
    <row r="213" spans="2:11" ht="15.75">
      <c r="B213" s="413"/>
      <c r="C213" s="413"/>
      <c r="D213" s="317" t="s">
        <v>140</v>
      </c>
      <c r="E213" s="317" t="s">
        <v>32</v>
      </c>
      <c r="F213" s="271">
        <v>99</v>
      </c>
      <c r="G213" s="342">
        <v>19800</v>
      </c>
      <c r="H213" s="324">
        <v>33649782</v>
      </c>
      <c r="I213" s="347"/>
      <c r="J213" s="276"/>
      <c r="K213" s="344">
        <f t="shared" si="3"/>
        <v>19800</v>
      </c>
    </row>
    <row r="214" spans="2:11">
      <c r="B214" s="413"/>
      <c r="C214" s="413"/>
      <c r="D214" s="317" t="s">
        <v>141</v>
      </c>
      <c r="E214" s="317" t="s">
        <v>158</v>
      </c>
      <c r="F214" s="271">
        <v>192</v>
      </c>
      <c r="G214" s="342"/>
      <c r="H214" s="333" t="s">
        <v>311</v>
      </c>
      <c r="I214" s="348"/>
      <c r="J214" s="276" t="s">
        <v>311</v>
      </c>
      <c r="K214" s="344">
        <f t="shared" si="3"/>
        <v>0</v>
      </c>
    </row>
    <row r="215" spans="2:11">
      <c r="B215" s="413"/>
      <c r="C215" s="413"/>
      <c r="D215" s="317" t="s">
        <v>142</v>
      </c>
      <c r="E215" s="317" t="s">
        <v>13</v>
      </c>
      <c r="F215" s="271">
        <v>96</v>
      </c>
      <c r="G215" s="342"/>
      <c r="H215" s="333" t="s">
        <v>311</v>
      </c>
      <c r="I215" s="348"/>
      <c r="J215" s="276" t="s">
        <v>311</v>
      </c>
      <c r="K215" s="344">
        <f t="shared" si="3"/>
        <v>0</v>
      </c>
    </row>
    <row r="216" spans="2:11">
      <c r="B216" s="413"/>
      <c r="C216" s="413"/>
      <c r="D216" s="317" t="s">
        <v>143</v>
      </c>
      <c r="E216" s="317" t="s">
        <v>158</v>
      </c>
      <c r="F216" s="271">
        <v>96</v>
      </c>
      <c r="G216" s="342"/>
      <c r="H216" s="276" t="s">
        <v>311</v>
      </c>
      <c r="I216" s="342"/>
      <c r="J216" s="276" t="s">
        <v>311</v>
      </c>
      <c r="K216" s="344">
        <f t="shared" si="3"/>
        <v>0</v>
      </c>
    </row>
    <row r="217" spans="2:11">
      <c r="B217" s="317">
        <v>7</v>
      </c>
      <c r="C217" s="317" t="s">
        <v>55</v>
      </c>
      <c r="D217" s="317" t="s">
        <v>144</v>
      </c>
      <c r="E217" s="317" t="s">
        <v>33</v>
      </c>
      <c r="F217" s="271">
        <v>96</v>
      </c>
      <c r="G217" s="342">
        <v>28800</v>
      </c>
      <c r="H217" s="276">
        <v>33394949</v>
      </c>
      <c r="I217" s="342">
        <f>G217</f>
        <v>28800</v>
      </c>
      <c r="J217" s="276" t="s">
        <v>456</v>
      </c>
      <c r="K217" s="344">
        <f t="shared" si="3"/>
        <v>0</v>
      </c>
    </row>
    <row r="218" spans="2:11">
      <c r="B218" s="273"/>
      <c r="C218" s="273"/>
      <c r="D218" s="273"/>
      <c r="E218" s="273"/>
      <c r="F218" s="274"/>
      <c r="G218" s="342"/>
      <c r="H218" s="327"/>
      <c r="I218" s="342"/>
      <c r="J218" s="327"/>
      <c r="K218" s="344"/>
    </row>
    <row r="219" spans="2:11">
      <c r="B219" s="412" t="s">
        <v>47</v>
      </c>
      <c r="C219" s="412"/>
      <c r="D219" s="412"/>
      <c r="E219" s="412"/>
      <c r="F219" s="412"/>
      <c r="G219" s="329">
        <f>SUM(G181:G218)</f>
        <v>318400</v>
      </c>
      <c r="H219" s="329"/>
      <c r="I219" s="329">
        <f>SUM(I181:I218)</f>
        <v>130000</v>
      </c>
      <c r="J219" s="329"/>
      <c r="K219" s="329">
        <f>SUM(K181:K218)</f>
        <v>188400</v>
      </c>
    </row>
    <row r="224" spans="2:11" ht="21">
      <c r="B224" s="414" t="s">
        <v>221</v>
      </c>
      <c r="C224" s="414"/>
      <c r="D224" s="414"/>
      <c r="E224" s="414"/>
      <c r="F224" s="414"/>
      <c r="G224" s="414"/>
      <c r="H224" s="414"/>
      <c r="I224" s="414"/>
      <c r="J224" s="414"/>
      <c r="K224" s="414"/>
    </row>
    <row r="225" spans="2:11" s="322" customFormat="1" ht="15.75">
      <c r="B225" s="336" t="s">
        <v>161</v>
      </c>
      <c r="C225" s="336" t="s">
        <v>0</v>
      </c>
      <c r="D225" s="336" t="s">
        <v>160</v>
      </c>
      <c r="E225" s="336" t="s">
        <v>46</v>
      </c>
      <c r="F225" s="336" t="s">
        <v>162</v>
      </c>
      <c r="G225" s="341" t="s">
        <v>168</v>
      </c>
      <c r="H225" s="334" t="s">
        <v>307</v>
      </c>
      <c r="I225" s="346" t="s">
        <v>454</v>
      </c>
      <c r="J225" s="357" t="s">
        <v>308</v>
      </c>
      <c r="K225" s="346" t="s">
        <v>455</v>
      </c>
    </row>
    <row r="226" spans="2:11">
      <c r="B226" s="413">
        <v>1</v>
      </c>
      <c r="C226" s="413" t="s">
        <v>7</v>
      </c>
      <c r="D226" s="317" t="s">
        <v>115</v>
      </c>
      <c r="E226" s="317" t="s">
        <v>14</v>
      </c>
      <c r="F226" s="271">
        <v>96</v>
      </c>
      <c r="G226" s="342"/>
      <c r="H226" s="276" t="s">
        <v>311</v>
      </c>
      <c r="I226" s="342"/>
      <c r="J226" s="276" t="s">
        <v>311</v>
      </c>
      <c r="K226" s="350">
        <f>G226-I226</f>
        <v>0</v>
      </c>
    </row>
    <row r="227" spans="2:11">
      <c r="B227" s="413"/>
      <c r="C227" s="413"/>
      <c r="D227" s="317" t="s">
        <v>116</v>
      </c>
      <c r="E227" s="317" t="s">
        <v>15</v>
      </c>
      <c r="F227" s="271">
        <v>96</v>
      </c>
      <c r="G227" s="342"/>
      <c r="H227" s="276" t="s">
        <v>311</v>
      </c>
      <c r="I227" s="342"/>
      <c r="J227" s="276" t="s">
        <v>311</v>
      </c>
      <c r="K227" s="350">
        <f t="shared" ref="K227:K262" si="4">G227-I227</f>
        <v>0</v>
      </c>
    </row>
    <row r="228" spans="2:11" ht="15.75">
      <c r="B228" s="317">
        <v>2</v>
      </c>
      <c r="C228" s="317" t="s">
        <v>8</v>
      </c>
      <c r="D228" s="317" t="s">
        <v>112</v>
      </c>
      <c r="E228" s="317" t="s">
        <v>16</v>
      </c>
      <c r="F228" s="271">
        <v>96</v>
      </c>
      <c r="G228" s="342">
        <v>14400</v>
      </c>
      <c r="H228" s="270">
        <v>33394947</v>
      </c>
      <c r="I228" s="347">
        <f>G228</f>
        <v>14400</v>
      </c>
      <c r="J228" s="281" t="s">
        <v>453</v>
      </c>
      <c r="K228" s="350">
        <f t="shared" si="4"/>
        <v>0</v>
      </c>
    </row>
    <row r="229" spans="2:11">
      <c r="B229" s="413">
        <v>3</v>
      </c>
      <c r="C229" s="413" t="s">
        <v>5</v>
      </c>
      <c r="D229" s="317" t="s">
        <v>102</v>
      </c>
      <c r="E229" s="317" t="s">
        <v>23</v>
      </c>
      <c r="F229" s="271">
        <v>96</v>
      </c>
      <c r="G229" s="342"/>
      <c r="H229" s="333" t="s">
        <v>311</v>
      </c>
      <c r="I229" s="348"/>
      <c r="J229" s="276" t="s">
        <v>311</v>
      </c>
      <c r="K229" s="350">
        <f t="shared" si="4"/>
        <v>0</v>
      </c>
    </row>
    <row r="230" spans="2:11">
      <c r="B230" s="413"/>
      <c r="C230" s="413"/>
      <c r="D230" s="317" t="s">
        <v>117</v>
      </c>
      <c r="E230" s="317" t="s">
        <v>158</v>
      </c>
      <c r="F230" s="271">
        <v>98</v>
      </c>
      <c r="G230" s="342"/>
      <c r="H230" s="333" t="s">
        <v>311</v>
      </c>
      <c r="I230" s="348"/>
      <c r="J230" s="276" t="s">
        <v>311</v>
      </c>
      <c r="K230" s="350">
        <f t="shared" si="4"/>
        <v>0</v>
      </c>
    </row>
    <row r="231" spans="2:11">
      <c r="B231" s="413"/>
      <c r="C231" s="413"/>
      <c r="D231" s="317" t="s">
        <v>118</v>
      </c>
      <c r="E231" s="317" t="s">
        <v>158</v>
      </c>
      <c r="F231" s="271">
        <v>99</v>
      </c>
      <c r="G231" s="342"/>
      <c r="H231" s="333" t="s">
        <v>311</v>
      </c>
      <c r="I231" s="348"/>
      <c r="J231" s="276" t="s">
        <v>311</v>
      </c>
      <c r="K231" s="350">
        <f t="shared" si="4"/>
        <v>0</v>
      </c>
    </row>
    <row r="232" spans="2:11">
      <c r="B232" s="413"/>
      <c r="C232" s="413"/>
      <c r="D232" s="317" t="s">
        <v>119</v>
      </c>
      <c r="E232" s="317" t="s">
        <v>158</v>
      </c>
      <c r="F232" s="271">
        <v>147</v>
      </c>
      <c r="G232" s="342"/>
      <c r="H232" s="333" t="s">
        <v>311</v>
      </c>
      <c r="I232" s="348"/>
      <c r="J232" s="276" t="s">
        <v>311</v>
      </c>
      <c r="K232" s="350">
        <f t="shared" si="4"/>
        <v>0</v>
      </c>
    </row>
    <row r="233" spans="2:11">
      <c r="B233" s="413"/>
      <c r="C233" s="413"/>
      <c r="D233" s="317" t="s">
        <v>120</v>
      </c>
      <c r="E233" s="317" t="s">
        <v>158</v>
      </c>
      <c r="F233" s="271">
        <v>147</v>
      </c>
      <c r="G233" s="342"/>
      <c r="H233" s="333" t="s">
        <v>311</v>
      </c>
      <c r="I233" s="348"/>
      <c r="J233" s="276" t="s">
        <v>311</v>
      </c>
      <c r="K233" s="350">
        <f t="shared" si="4"/>
        <v>0</v>
      </c>
    </row>
    <row r="234" spans="2:11">
      <c r="B234" s="413"/>
      <c r="C234" s="413"/>
      <c r="D234" s="317" t="s">
        <v>121</v>
      </c>
      <c r="E234" s="317" t="s">
        <v>13</v>
      </c>
      <c r="F234" s="271">
        <v>99</v>
      </c>
      <c r="G234" s="342"/>
      <c r="H234" s="333" t="s">
        <v>311</v>
      </c>
      <c r="I234" s="348"/>
      <c r="J234" s="276" t="s">
        <v>311</v>
      </c>
      <c r="K234" s="350">
        <f t="shared" si="4"/>
        <v>0</v>
      </c>
    </row>
    <row r="235" spans="2:11">
      <c r="B235" s="413"/>
      <c r="C235" s="413"/>
      <c r="D235" s="317" t="s">
        <v>122</v>
      </c>
      <c r="E235" s="317" t="s">
        <v>158</v>
      </c>
      <c r="F235" s="271">
        <v>192</v>
      </c>
      <c r="G235" s="342"/>
      <c r="H235" s="333" t="s">
        <v>311</v>
      </c>
      <c r="I235" s="348"/>
      <c r="J235" s="276" t="s">
        <v>311</v>
      </c>
      <c r="K235" s="350">
        <f t="shared" si="4"/>
        <v>0</v>
      </c>
    </row>
    <row r="236" spans="2:11">
      <c r="B236" s="413">
        <v>4</v>
      </c>
      <c r="C236" s="413" t="s">
        <v>4</v>
      </c>
      <c r="D236" s="317" t="s">
        <v>145</v>
      </c>
      <c r="E236" s="317" t="s">
        <v>13</v>
      </c>
      <c r="F236" s="271">
        <v>144</v>
      </c>
      <c r="G236" s="342"/>
      <c r="H236" s="333" t="s">
        <v>311</v>
      </c>
      <c r="I236" s="348"/>
      <c r="J236" s="276" t="s">
        <v>311</v>
      </c>
      <c r="K236" s="350">
        <f t="shared" si="4"/>
        <v>0</v>
      </c>
    </row>
    <row r="237" spans="2:11" ht="15.75">
      <c r="B237" s="413"/>
      <c r="C237" s="413"/>
      <c r="D237" s="317" t="s">
        <v>146</v>
      </c>
      <c r="E237" s="317" t="s">
        <v>17</v>
      </c>
      <c r="F237" s="271">
        <v>96</v>
      </c>
      <c r="G237" s="342">
        <v>9600</v>
      </c>
      <c r="H237" s="270">
        <v>33649785</v>
      </c>
      <c r="I237" s="347"/>
      <c r="J237" s="276"/>
      <c r="K237" s="350">
        <f t="shared" si="4"/>
        <v>9600</v>
      </c>
    </row>
    <row r="238" spans="2:11" ht="15.75">
      <c r="B238" s="413"/>
      <c r="C238" s="413"/>
      <c r="D238" s="317" t="s">
        <v>147</v>
      </c>
      <c r="E238" s="317" t="s">
        <v>18</v>
      </c>
      <c r="F238" s="271">
        <v>96</v>
      </c>
      <c r="G238" s="342">
        <v>9600</v>
      </c>
      <c r="H238" s="270">
        <v>33649786</v>
      </c>
      <c r="I238" s="347"/>
      <c r="J238" s="276"/>
      <c r="K238" s="350">
        <f t="shared" si="4"/>
        <v>9600</v>
      </c>
    </row>
    <row r="239" spans="2:11" ht="15.75">
      <c r="B239" s="413"/>
      <c r="C239" s="413"/>
      <c r="D239" s="317" t="s">
        <v>148</v>
      </c>
      <c r="E239" s="317" t="s">
        <v>19</v>
      </c>
      <c r="F239" s="271">
        <v>96</v>
      </c>
      <c r="G239" s="342">
        <v>9600</v>
      </c>
      <c r="H239" s="270">
        <v>33649787</v>
      </c>
      <c r="I239" s="347"/>
      <c r="J239" s="276"/>
      <c r="K239" s="350">
        <f t="shared" si="4"/>
        <v>9600</v>
      </c>
    </row>
    <row r="240" spans="2:11" ht="15.75">
      <c r="B240" s="413"/>
      <c r="C240" s="413"/>
      <c r="D240" s="317" t="s">
        <v>149</v>
      </c>
      <c r="E240" s="317" t="s">
        <v>20</v>
      </c>
      <c r="F240" s="271">
        <v>118</v>
      </c>
      <c r="G240" s="342">
        <v>11800</v>
      </c>
      <c r="H240" s="270">
        <v>33649788</v>
      </c>
      <c r="I240" s="347"/>
      <c r="J240" s="276"/>
      <c r="K240" s="350">
        <f t="shared" si="4"/>
        <v>11800</v>
      </c>
    </row>
    <row r="241" spans="2:11" ht="15.75">
      <c r="B241" s="413"/>
      <c r="C241" s="413"/>
      <c r="D241" s="317" t="s">
        <v>150</v>
      </c>
      <c r="E241" s="317" t="s">
        <v>20</v>
      </c>
      <c r="F241" s="271">
        <v>118</v>
      </c>
      <c r="G241" s="342">
        <v>11800</v>
      </c>
      <c r="H241" s="270">
        <v>33649789</v>
      </c>
      <c r="I241" s="347"/>
      <c r="J241" s="276"/>
      <c r="K241" s="350">
        <f t="shared" si="4"/>
        <v>11800</v>
      </c>
    </row>
    <row r="242" spans="2:11" ht="15.75">
      <c r="B242" s="413"/>
      <c r="C242" s="413"/>
      <c r="D242" s="317" t="s">
        <v>151</v>
      </c>
      <c r="E242" s="317" t="s">
        <v>21</v>
      </c>
      <c r="F242" s="271">
        <v>96</v>
      </c>
      <c r="G242" s="342">
        <v>9600</v>
      </c>
      <c r="H242" s="270">
        <v>33649790</v>
      </c>
      <c r="I242" s="347">
        <f>G242</f>
        <v>9600</v>
      </c>
      <c r="J242" s="276" t="s">
        <v>452</v>
      </c>
      <c r="K242" s="350">
        <f t="shared" si="4"/>
        <v>0</v>
      </c>
    </row>
    <row r="243" spans="2:11">
      <c r="B243" s="413"/>
      <c r="C243" s="413"/>
      <c r="D243" s="317" t="s">
        <v>152</v>
      </c>
      <c r="E243" s="317" t="s">
        <v>12</v>
      </c>
      <c r="F243" s="271">
        <v>96</v>
      </c>
      <c r="G243" s="342"/>
      <c r="H243" s="333" t="s">
        <v>311</v>
      </c>
      <c r="I243" s="348"/>
      <c r="J243" s="276" t="s">
        <v>311</v>
      </c>
      <c r="K243" s="350">
        <f t="shared" si="4"/>
        <v>0</v>
      </c>
    </row>
    <row r="244" spans="2:11" ht="15.75">
      <c r="B244" s="413"/>
      <c r="C244" s="413"/>
      <c r="D244" s="317" t="s">
        <v>153</v>
      </c>
      <c r="E244" s="317" t="s">
        <v>22</v>
      </c>
      <c r="F244" s="271">
        <v>96</v>
      </c>
      <c r="G244" s="342">
        <v>9600</v>
      </c>
      <c r="H244" s="270">
        <v>33649791</v>
      </c>
      <c r="I244" s="347"/>
      <c r="J244" s="276"/>
      <c r="K244" s="350">
        <f t="shared" si="4"/>
        <v>9600</v>
      </c>
    </row>
    <row r="245" spans="2:11">
      <c r="B245" s="413"/>
      <c r="C245" s="413"/>
      <c r="D245" s="317" t="s">
        <v>154</v>
      </c>
      <c r="E245" s="317" t="s">
        <v>13</v>
      </c>
      <c r="F245" s="271">
        <v>144</v>
      </c>
      <c r="G245" s="342"/>
      <c r="H245" s="333" t="s">
        <v>311</v>
      </c>
      <c r="I245" s="348"/>
      <c r="J245" s="276" t="s">
        <v>311</v>
      </c>
      <c r="K245" s="350">
        <f t="shared" si="4"/>
        <v>0</v>
      </c>
    </row>
    <row r="246" spans="2:11" ht="15.75">
      <c r="B246" s="413">
        <v>5</v>
      </c>
      <c r="C246" s="413" t="s">
        <v>34</v>
      </c>
      <c r="D246" s="317" t="s">
        <v>126</v>
      </c>
      <c r="E246" s="317" t="s">
        <v>35</v>
      </c>
      <c r="F246" s="271">
        <v>96</v>
      </c>
      <c r="G246" s="342">
        <v>28800</v>
      </c>
      <c r="H246" s="270">
        <v>33649798</v>
      </c>
      <c r="I246" s="347"/>
      <c r="J246" s="281">
        <v>46275</v>
      </c>
      <c r="K246" s="350">
        <f t="shared" si="4"/>
        <v>28800</v>
      </c>
    </row>
    <row r="247" spans="2:11" ht="15.75">
      <c r="B247" s="413"/>
      <c r="C247" s="413"/>
      <c r="D247" s="317" t="s">
        <v>127</v>
      </c>
      <c r="E247" s="317" t="s">
        <v>36</v>
      </c>
      <c r="F247" s="271">
        <v>96</v>
      </c>
      <c r="G247" s="342">
        <v>28800</v>
      </c>
      <c r="H247" s="270">
        <v>33649799</v>
      </c>
      <c r="I247" s="347"/>
      <c r="J247" s="276"/>
      <c r="K247" s="350">
        <f t="shared" si="4"/>
        <v>28800</v>
      </c>
    </row>
    <row r="248" spans="2:11">
      <c r="B248" s="413"/>
      <c r="C248" s="413"/>
      <c r="D248" s="317" t="s">
        <v>128</v>
      </c>
      <c r="E248" s="317" t="s">
        <v>12</v>
      </c>
      <c r="F248" s="271">
        <v>99</v>
      </c>
      <c r="G248" s="342"/>
      <c r="H248" s="276" t="s">
        <v>311</v>
      </c>
      <c r="I248" s="342"/>
      <c r="J248" s="276" t="s">
        <v>311</v>
      </c>
      <c r="K248" s="350">
        <f t="shared" si="4"/>
        <v>0</v>
      </c>
    </row>
    <row r="249" spans="2:11">
      <c r="B249" s="413"/>
      <c r="C249" s="413"/>
      <c r="D249" s="317" t="s">
        <v>129</v>
      </c>
      <c r="E249" s="317" t="s">
        <v>12</v>
      </c>
      <c r="F249" s="271">
        <v>147</v>
      </c>
      <c r="G249" s="342"/>
      <c r="H249" s="276" t="s">
        <v>311</v>
      </c>
      <c r="I249" s="342"/>
      <c r="J249" s="276" t="s">
        <v>311</v>
      </c>
      <c r="K249" s="350">
        <f t="shared" si="4"/>
        <v>0</v>
      </c>
    </row>
    <row r="250" spans="2:11">
      <c r="B250" s="413">
        <v>6</v>
      </c>
      <c r="C250" s="413" t="s">
        <v>53</v>
      </c>
      <c r="D250" s="317" t="s">
        <v>132</v>
      </c>
      <c r="E250" s="317" t="s">
        <v>158</v>
      </c>
      <c r="F250" s="271">
        <v>144</v>
      </c>
      <c r="G250" s="342"/>
      <c r="H250" s="276" t="s">
        <v>311</v>
      </c>
      <c r="I250" s="342"/>
      <c r="J250" s="276" t="s">
        <v>311</v>
      </c>
      <c r="K250" s="350">
        <f t="shared" si="4"/>
        <v>0</v>
      </c>
    </row>
    <row r="251" spans="2:11" ht="15.75">
      <c r="B251" s="413"/>
      <c r="C251" s="413"/>
      <c r="D251" s="317" t="s">
        <v>133</v>
      </c>
      <c r="E251" s="317" t="s">
        <v>26</v>
      </c>
      <c r="F251" s="271">
        <v>98</v>
      </c>
      <c r="G251" s="342">
        <v>19600</v>
      </c>
      <c r="H251" s="270">
        <v>33649792</v>
      </c>
      <c r="I251" s="347">
        <f>G251</f>
        <v>19600</v>
      </c>
      <c r="J251" s="281">
        <v>46303</v>
      </c>
      <c r="K251" s="350">
        <f t="shared" si="4"/>
        <v>0</v>
      </c>
    </row>
    <row r="252" spans="2:11" ht="15.75">
      <c r="B252" s="413"/>
      <c r="C252" s="413"/>
      <c r="D252" s="317" t="s">
        <v>134</v>
      </c>
      <c r="E252" s="317" t="s">
        <v>27</v>
      </c>
      <c r="F252" s="271">
        <v>98</v>
      </c>
      <c r="G252" s="342">
        <v>19600</v>
      </c>
      <c r="H252" s="270">
        <v>33649793</v>
      </c>
      <c r="I252" s="347"/>
      <c r="J252" s="276"/>
      <c r="K252" s="350">
        <f t="shared" si="4"/>
        <v>19600</v>
      </c>
    </row>
    <row r="253" spans="2:11" ht="15.75">
      <c r="B253" s="413"/>
      <c r="C253" s="413"/>
      <c r="D253" s="317" t="s">
        <v>135</v>
      </c>
      <c r="E253" s="317" t="s">
        <v>28</v>
      </c>
      <c r="F253" s="271">
        <v>99</v>
      </c>
      <c r="G253" s="342">
        <v>19200</v>
      </c>
      <c r="H253" s="270">
        <v>33649794</v>
      </c>
      <c r="I253" s="347">
        <f>G253</f>
        <v>19200</v>
      </c>
      <c r="J253" s="281">
        <v>46088</v>
      </c>
      <c r="K253" s="350">
        <f t="shared" si="4"/>
        <v>0</v>
      </c>
    </row>
    <row r="254" spans="2:11" ht="15.75">
      <c r="B254" s="413"/>
      <c r="C254" s="413"/>
      <c r="D254" s="317" t="s">
        <v>136</v>
      </c>
      <c r="E254" s="317" t="s">
        <v>29</v>
      </c>
      <c r="F254" s="271">
        <v>96</v>
      </c>
      <c r="G254" s="342">
        <v>19200</v>
      </c>
      <c r="H254" s="270">
        <v>33649801</v>
      </c>
      <c r="I254" s="347">
        <f>G254</f>
        <v>19200</v>
      </c>
      <c r="J254" s="281">
        <v>46088</v>
      </c>
      <c r="K254" s="350">
        <f t="shared" si="4"/>
        <v>0</v>
      </c>
    </row>
    <row r="255" spans="2:11" ht="15.75">
      <c r="B255" s="413"/>
      <c r="C255" s="413"/>
      <c r="D255" s="317" t="s">
        <v>137</v>
      </c>
      <c r="E255" s="317" t="s">
        <v>30</v>
      </c>
      <c r="F255" s="271">
        <v>96</v>
      </c>
      <c r="G255" s="342">
        <v>19200</v>
      </c>
      <c r="H255" s="270">
        <v>33649795</v>
      </c>
      <c r="I255" s="347">
        <f>G255</f>
        <v>19200</v>
      </c>
      <c r="J255" s="281">
        <v>46060</v>
      </c>
      <c r="K255" s="350">
        <f t="shared" si="4"/>
        <v>0</v>
      </c>
    </row>
    <row r="256" spans="2:11" ht="15.75">
      <c r="B256" s="413"/>
      <c r="C256" s="413"/>
      <c r="D256" s="317" t="s">
        <v>138</v>
      </c>
      <c r="E256" s="317" t="s">
        <v>31</v>
      </c>
      <c r="F256" s="271">
        <v>147</v>
      </c>
      <c r="G256" s="342">
        <v>29400</v>
      </c>
      <c r="H256" s="270">
        <v>33649796</v>
      </c>
      <c r="I256" s="347"/>
      <c r="J256" s="276"/>
      <c r="K256" s="350">
        <f t="shared" si="4"/>
        <v>29400</v>
      </c>
    </row>
    <row r="257" spans="2:11">
      <c r="B257" s="413"/>
      <c r="C257" s="413"/>
      <c r="D257" s="317" t="s">
        <v>139</v>
      </c>
      <c r="E257" s="317" t="s">
        <v>158</v>
      </c>
      <c r="F257" s="271">
        <v>147</v>
      </c>
      <c r="G257" s="342"/>
      <c r="H257" s="333" t="s">
        <v>311</v>
      </c>
      <c r="I257" s="348"/>
      <c r="J257" s="276" t="s">
        <v>311</v>
      </c>
      <c r="K257" s="350">
        <f t="shared" si="4"/>
        <v>0</v>
      </c>
    </row>
    <row r="258" spans="2:11" ht="15.75">
      <c r="B258" s="413"/>
      <c r="C258" s="413"/>
      <c r="D258" s="317" t="s">
        <v>140</v>
      </c>
      <c r="E258" s="317" t="s">
        <v>32</v>
      </c>
      <c r="F258" s="271">
        <v>99</v>
      </c>
      <c r="G258" s="342">
        <v>19800</v>
      </c>
      <c r="H258" s="270">
        <v>33649797</v>
      </c>
      <c r="I258" s="347"/>
      <c r="J258" s="276"/>
      <c r="K258" s="350">
        <f t="shared" si="4"/>
        <v>19800</v>
      </c>
    </row>
    <row r="259" spans="2:11">
      <c r="B259" s="413"/>
      <c r="C259" s="413"/>
      <c r="D259" s="317" t="s">
        <v>141</v>
      </c>
      <c r="E259" s="317" t="s">
        <v>158</v>
      </c>
      <c r="F259" s="271">
        <v>192</v>
      </c>
      <c r="G259" s="342"/>
      <c r="H259" s="333" t="s">
        <v>311</v>
      </c>
      <c r="I259" s="348"/>
      <c r="J259" s="276" t="s">
        <v>311</v>
      </c>
      <c r="K259" s="350">
        <f t="shared" si="4"/>
        <v>0</v>
      </c>
    </row>
    <row r="260" spans="2:11">
      <c r="B260" s="413"/>
      <c r="C260" s="413"/>
      <c r="D260" s="317" t="s">
        <v>142</v>
      </c>
      <c r="E260" s="317" t="s">
        <v>13</v>
      </c>
      <c r="F260" s="271">
        <v>96</v>
      </c>
      <c r="G260" s="342"/>
      <c r="H260" s="333" t="s">
        <v>311</v>
      </c>
      <c r="I260" s="348"/>
      <c r="J260" s="276" t="s">
        <v>311</v>
      </c>
      <c r="K260" s="350">
        <f t="shared" si="4"/>
        <v>0</v>
      </c>
    </row>
    <row r="261" spans="2:11">
      <c r="B261" s="413"/>
      <c r="C261" s="413"/>
      <c r="D261" s="317" t="s">
        <v>143</v>
      </c>
      <c r="E261" s="317" t="s">
        <v>158</v>
      </c>
      <c r="F261" s="271">
        <v>96</v>
      </c>
      <c r="G261" s="342"/>
      <c r="H261" s="276" t="s">
        <v>311</v>
      </c>
      <c r="I261" s="342"/>
      <c r="J261" s="276" t="s">
        <v>311</v>
      </c>
      <c r="K261" s="350">
        <f t="shared" si="4"/>
        <v>0</v>
      </c>
    </row>
    <row r="262" spans="2:11">
      <c r="B262" s="317">
        <v>7</v>
      </c>
      <c r="C262" s="317" t="s">
        <v>55</v>
      </c>
      <c r="D262" s="317" t="s">
        <v>144</v>
      </c>
      <c r="E262" s="317" t="s">
        <v>33</v>
      </c>
      <c r="F262" s="271">
        <v>96</v>
      </c>
      <c r="G262" s="342">
        <v>28800</v>
      </c>
      <c r="H262" s="276">
        <v>33394948</v>
      </c>
      <c r="I262" s="342">
        <f>G262</f>
        <v>28800</v>
      </c>
      <c r="J262" s="276" t="s">
        <v>456</v>
      </c>
      <c r="K262" s="350">
        <f t="shared" si="4"/>
        <v>0</v>
      </c>
    </row>
    <row r="263" spans="2:11">
      <c r="B263" s="273"/>
      <c r="C263" s="273"/>
      <c r="D263" s="273"/>
      <c r="E263" s="273"/>
      <c r="F263" s="274"/>
      <c r="G263" s="342"/>
      <c r="H263" s="327"/>
      <c r="I263" s="342"/>
      <c r="J263" s="327"/>
      <c r="K263" s="350"/>
    </row>
    <row r="264" spans="2:11">
      <c r="B264" s="412" t="s">
        <v>47</v>
      </c>
      <c r="C264" s="412"/>
      <c r="D264" s="412"/>
      <c r="E264" s="412"/>
      <c r="F264" s="412"/>
      <c r="G264" s="351">
        <f>SUM(G226:G262)</f>
        <v>318400</v>
      </c>
      <c r="H264" s="329"/>
      <c r="I264" s="351">
        <f>SUM(I226:I262)</f>
        <v>130000</v>
      </c>
      <c r="J264" s="329"/>
      <c r="K264" s="351">
        <f>SUM(K226:K262)</f>
        <v>188400</v>
      </c>
    </row>
    <row r="268" spans="2:11" ht="21" customHeight="1"/>
    <row r="269" spans="2:11" ht="21">
      <c r="B269" s="414" t="s">
        <v>507</v>
      </c>
      <c r="C269" s="414"/>
      <c r="D269" s="414"/>
      <c r="E269" s="414"/>
      <c r="F269" s="414"/>
      <c r="G269" s="414"/>
      <c r="H269" s="414"/>
      <c r="I269" s="414"/>
      <c r="J269" s="414"/>
      <c r="K269" s="414"/>
    </row>
    <row r="270" spans="2:11" ht="15.75">
      <c r="B270" s="375" t="s">
        <v>161</v>
      </c>
      <c r="C270" s="375" t="s">
        <v>0</v>
      </c>
      <c r="D270" s="375" t="s">
        <v>160</v>
      </c>
      <c r="E270" s="375" t="s">
        <v>46</v>
      </c>
      <c r="F270" s="375" t="s">
        <v>162</v>
      </c>
      <c r="G270" s="341" t="s">
        <v>168</v>
      </c>
      <c r="H270" s="334" t="s">
        <v>307</v>
      </c>
      <c r="I270" s="346" t="s">
        <v>454</v>
      </c>
      <c r="J270" s="357" t="s">
        <v>308</v>
      </c>
      <c r="K270" s="346" t="s">
        <v>455</v>
      </c>
    </row>
    <row r="271" spans="2:11">
      <c r="B271" s="413">
        <v>1</v>
      </c>
      <c r="C271" s="413" t="s">
        <v>7</v>
      </c>
      <c r="D271" s="374" t="s">
        <v>115</v>
      </c>
      <c r="E271" s="374" t="s">
        <v>14</v>
      </c>
      <c r="F271" s="271">
        <v>96</v>
      </c>
      <c r="G271" s="342">
        <v>0</v>
      </c>
      <c r="H271" s="276" t="s">
        <v>311</v>
      </c>
      <c r="I271" s="342"/>
      <c r="J271" s="276" t="s">
        <v>311</v>
      </c>
      <c r="K271" s="350">
        <f>G271-I271</f>
        <v>0</v>
      </c>
    </row>
    <row r="272" spans="2:11">
      <c r="B272" s="413"/>
      <c r="C272" s="413"/>
      <c r="D272" s="374" t="s">
        <v>116</v>
      </c>
      <c r="E272" s="374" t="s">
        <v>15</v>
      </c>
      <c r="F272" s="271">
        <v>96</v>
      </c>
      <c r="G272" s="342">
        <v>0</v>
      </c>
      <c r="H272" s="276" t="s">
        <v>311</v>
      </c>
      <c r="I272" s="342"/>
      <c r="J272" s="276" t="s">
        <v>311</v>
      </c>
      <c r="K272" s="350">
        <f t="shared" ref="K272:K307" si="5">G272-I272</f>
        <v>0</v>
      </c>
    </row>
    <row r="273" spans="2:11" ht="15.75">
      <c r="B273" s="374">
        <v>2</v>
      </c>
      <c r="C273" s="374" t="s">
        <v>8</v>
      </c>
      <c r="D273" s="374" t="s">
        <v>112</v>
      </c>
      <c r="E273" s="374" t="s">
        <v>16</v>
      </c>
      <c r="F273" s="271">
        <v>96</v>
      </c>
      <c r="G273" s="342">
        <v>14400</v>
      </c>
      <c r="H273" s="270">
        <v>33649802</v>
      </c>
      <c r="I273" s="347"/>
      <c r="J273" s="281"/>
      <c r="K273" s="350">
        <f t="shared" si="5"/>
        <v>14400</v>
      </c>
    </row>
    <row r="274" spans="2:11">
      <c r="B274" s="413">
        <v>3</v>
      </c>
      <c r="C274" s="413" t="s">
        <v>5</v>
      </c>
      <c r="D274" s="374" t="s">
        <v>102</v>
      </c>
      <c r="E274" s="374" t="s">
        <v>23</v>
      </c>
      <c r="F274" s="271">
        <v>96</v>
      </c>
      <c r="G274" s="342">
        <v>0</v>
      </c>
      <c r="H274" s="333" t="s">
        <v>311</v>
      </c>
      <c r="I274" s="348"/>
      <c r="J274" s="276"/>
      <c r="K274" s="350">
        <f t="shared" si="5"/>
        <v>0</v>
      </c>
    </row>
    <row r="275" spans="2:11">
      <c r="B275" s="413"/>
      <c r="C275" s="413"/>
      <c r="D275" s="374" t="s">
        <v>117</v>
      </c>
      <c r="E275" s="374" t="s">
        <v>158</v>
      </c>
      <c r="F275" s="271">
        <v>98</v>
      </c>
      <c r="G275" s="342">
        <v>0</v>
      </c>
      <c r="H275" s="333" t="s">
        <v>311</v>
      </c>
      <c r="I275" s="348"/>
      <c r="J275" s="276"/>
      <c r="K275" s="350">
        <f t="shared" si="5"/>
        <v>0</v>
      </c>
    </row>
    <row r="276" spans="2:11">
      <c r="B276" s="413"/>
      <c r="C276" s="413"/>
      <c r="D276" s="374" t="s">
        <v>118</v>
      </c>
      <c r="E276" s="374" t="s">
        <v>158</v>
      </c>
      <c r="F276" s="271">
        <v>99</v>
      </c>
      <c r="G276" s="342">
        <v>0</v>
      </c>
      <c r="H276" s="333" t="s">
        <v>311</v>
      </c>
      <c r="I276" s="348"/>
      <c r="J276" s="276"/>
      <c r="K276" s="350">
        <f t="shared" si="5"/>
        <v>0</v>
      </c>
    </row>
    <row r="277" spans="2:11">
      <c r="B277" s="413"/>
      <c r="C277" s="413"/>
      <c r="D277" s="374" t="s">
        <v>119</v>
      </c>
      <c r="E277" s="374" t="s">
        <v>158</v>
      </c>
      <c r="F277" s="271">
        <v>147</v>
      </c>
      <c r="G277" s="342">
        <v>0</v>
      </c>
      <c r="H277" s="333" t="s">
        <v>311</v>
      </c>
      <c r="I277" s="348"/>
      <c r="J277" s="276"/>
      <c r="K277" s="350">
        <f t="shared" si="5"/>
        <v>0</v>
      </c>
    </row>
    <row r="278" spans="2:11">
      <c r="B278" s="413"/>
      <c r="C278" s="413"/>
      <c r="D278" s="374" t="s">
        <v>120</v>
      </c>
      <c r="E278" s="374" t="s">
        <v>158</v>
      </c>
      <c r="F278" s="271">
        <v>147</v>
      </c>
      <c r="G278" s="342">
        <v>0</v>
      </c>
      <c r="H278" s="333" t="s">
        <v>311</v>
      </c>
      <c r="I278" s="348"/>
      <c r="J278" s="276"/>
      <c r="K278" s="350">
        <f t="shared" si="5"/>
        <v>0</v>
      </c>
    </row>
    <row r="279" spans="2:11">
      <c r="B279" s="413"/>
      <c r="C279" s="413"/>
      <c r="D279" s="374" t="s">
        <v>121</v>
      </c>
      <c r="E279" s="374" t="s">
        <v>13</v>
      </c>
      <c r="F279" s="271">
        <v>99</v>
      </c>
      <c r="G279" s="342">
        <v>0</v>
      </c>
      <c r="H279" s="333" t="s">
        <v>311</v>
      </c>
      <c r="I279" s="348"/>
      <c r="J279" s="276"/>
      <c r="K279" s="350">
        <f t="shared" si="5"/>
        <v>0</v>
      </c>
    </row>
    <row r="280" spans="2:11">
      <c r="B280" s="413"/>
      <c r="C280" s="413"/>
      <c r="D280" s="374" t="s">
        <v>122</v>
      </c>
      <c r="E280" s="374" t="s">
        <v>158</v>
      </c>
      <c r="F280" s="271">
        <v>192</v>
      </c>
      <c r="G280" s="342">
        <v>0</v>
      </c>
      <c r="H280" s="333" t="s">
        <v>311</v>
      </c>
      <c r="I280" s="348"/>
      <c r="J280" s="276"/>
      <c r="K280" s="350">
        <f t="shared" si="5"/>
        <v>0</v>
      </c>
    </row>
    <row r="281" spans="2:11">
      <c r="B281" s="413">
        <v>4</v>
      </c>
      <c r="C281" s="413" t="s">
        <v>4</v>
      </c>
      <c r="D281" s="374" t="s">
        <v>145</v>
      </c>
      <c r="E281" s="374" t="s">
        <v>13</v>
      </c>
      <c r="F281" s="271">
        <v>144</v>
      </c>
      <c r="G281" s="342">
        <v>0</v>
      </c>
      <c r="I281" s="348"/>
      <c r="J281" s="276"/>
      <c r="K281" s="350">
        <f t="shared" si="5"/>
        <v>0</v>
      </c>
    </row>
    <row r="282" spans="2:11" ht="15.75">
      <c r="B282" s="413"/>
      <c r="C282" s="413"/>
      <c r="D282" s="374" t="s">
        <v>146</v>
      </c>
      <c r="E282" s="374" t="s">
        <v>17</v>
      </c>
      <c r="F282" s="271">
        <v>96</v>
      </c>
      <c r="G282" s="342">
        <v>9600</v>
      </c>
      <c r="H282" s="270">
        <v>33649812</v>
      </c>
      <c r="I282" s="347"/>
      <c r="J282" s="276"/>
      <c r="K282" s="350">
        <f t="shared" si="5"/>
        <v>9600</v>
      </c>
    </row>
    <row r="283" spans="2:11" ht="15.75">
      <c r="B283" s="413"/>
      <c r="C283" s="413"/>
      <c r="D283" s="374" t="s">
        <v>147</v>
      </c>
      <c r="E283" s="374" t="s">
        <v>18</v>
      </c>
      <c r="F283" s="271">
        <v>96</v>
      </c>
      <c r="G283" s="342">
        <v>9600</v>
      </c>
      <c r="H283" s="270">
        <v>33649813</v>
      </c>
      <c r="I283" s="347"/>
      <c r="J283" s="276"/>
      <c r="K283" s="350">
        <f t="shared" si="5"/>
        <v>9600</v>
      </c>
    </row>
    <row r="284" spans="2:11" ht="15.75">
      <c r="B284" s="413"/>
      <c r="C284" s="413"/>
      <c r="D284" s="374" t="s">
        <v>148</v>
      </c>
      <c r="E284" s="374" t="s">
        <v>19</v>
      </c>
      <c r="F284" s="271">
        <v>96</v>
      </c>
      <c r="G284" s="342">
        <v>9600</v>
      </c>
      <c r="H284" s="270">
        <v>33649814</v>
      </c>
      <c r="I284" s="347"/>
      <c r="J284" s="276"/>
      <c r="K284" s="350">
        <f t="shared" si="5"/>
        <v>9600</v>
      </c>
    </row>
    <row r="285" spans="2:11" ht="15.75">
      <c r="B285" s="413"/>
      <c r="C285" s="413"/>
      <c r="D285" s="374" t="s">
        <v>149</v>
      </c>
      <c r="E285" s="374" t="s">
        <v>20</v>
      </c>
      <c r="F285" s="271">
        <v>118</v>
      </c>
      <c r="G285" s="342">
        <v>11800</v>
      </c>
      <c r="H285" s="270">
        <v>33649815</v>
      </c>
      <c r="I285" s="347"/>
      <c r="J285" s="276"/>
      <c r="K285" s="350">
        <f t="shared" si="5"/>
        <v>11800</v>
      </c>
    </row>
    <row r="286" spans="2:11" ht="15.75">
      <c r="B286" s="413"/>
      <c r="C286" s="413"/>
      <c r="D286" s="374" t="s">
        <v>150</v>
      </c>
      <c r="E286" s="374" t="s">
        <v>20</v>
      </c>
      <c r="F286" s="271">
        <v>118</v>
      </c>
      <c r="G286" s="342">
        <v>11800</v>
      </c>
      <c r="H286" s="270">
        <v>33649816</v>
      </c>
      <c r="I286" s="347"/>
      <c r="J286" s="276"/>
      <c r="K286" s="350">
        <f t="shared" si="5"/>
        <v>11800</v>
      </c>
    </row>
    <row r="287" spans="2:11" ht="15.75">
      <c r="B287" s="413"/>
      <c r="C287" s="413"/>
      <c r="D287" s="374" t="s">
        <v>151</v>
      </c>
      <c r="E287" s="374" t="s">
        <v>21</v>
      </c>
      <c r="F287" s="271">
        <v>96</v>
      </c>
      <c r="G287" s="342">
        <v>9600</v>
      </c>
      <c r="H287" s="270">
        <v>33649817</v>
      </c>
      <c r="I287" s="347">
        <f>G287</f>
        <v>9600</v>
      </c>
      <c r="J287" s="281">
        <v>46274</v>
      </c>
      <c r="K287" s="350">
        <f t="shared" si="5"/>
        <v>0</v>
      </c>
    </row>
    <row r="288" spans="2:11">
      <c r="B288" s="413"/>
      <c r="C288" s="413"/>
      <c r="D288" s="374" t="s">
        <v>152</v>
      </c>
      <c r="E288" s="374" t="s">
        <v>12</v>
      </c>
      <c r="F288" s="271">
        <v>96</v>
      </c>
      <c r="G288" s="342">
        <v>0</v>
      </c>
      <c r="I288" s="348"/>
      <c r="J288" s="276"/>
      <c r="K288" s="350">
        <f t="shared" si="5"/>
        <v>0</v>
      </c>
    </row>
    <row r="289" spans="2:11" ht="15.75">
      <c r="B289" s="413"/>
      <c r="C289" s="413"/>
      <c r="D289" s="374" t="s">
        <v>153</v>
      </c>
      <c r="E289" s="374" t="s">
        <v>22</v>
      </c>
      <c r="F289" s="271">
        <v>96</v>
      </c>
      <c r="G289" s="342">
        <v>9600</v>
      </c>
      <c r="H289" s="270">
        <v>33649818</v>
      </c>
      <c r="I289" s="347"/>
      <c r="J289" s="276"/>
      <c r="K289" s="350">
        <f t="shared" si="5"/>
        <v>9600</v>
      </c>
    </row>
    <row r="290" spans="2:11">
      <c r="B290" s="413"/>
      <c r="C290" s="413"/>
      <c r="D290" s="374" t="s">
        <v>154</v>
      </c>
      <c r="E290" s="374" t="s">
        <v>13</v>
      </c>
      <c r="F290" s="271">
        <v>144</v>
      </c>
      <c r="G290" s="342">
        <v>0</v>
      </c>
      <c r="H290" s="333"/>
      <c r="I290" s="348"/>
      <c r="J290" s="276"/>
      <c r="K290" s="350">
        <f t="shared" si="5"/>
        <v>0</v>
      </c>
    </row>
    <row r="291" spans="2:11" ht="15.75">
      <c r="B291" s="413">
        <v>5</v>
      </c>
      <c r="C291" s="413" t="s">
        <v>34</v>
      </c>
      <c r="D291" s="374" t="s">
        <v>126</v>
      </c>
      <c r="E291" s="374" t="s">
        <v>35</v>
      </c>
      <c r="F291" s="271">
        <v>96</v>
      </c>
      <c r="G291" s="342">
        <v>0</v>
      </c>
      <c r="H291" s="270"/>
      <c r="I291" s="347"/>
      <c r="J291" s="276"/>
      <c r="K291" s="350">
        <f t="shared" si="5"/>
        <v>0</v>
      </c>
    </row>
    <row r="292" spans="2:11" ht="15.75">
      <c r="B292" s="413"/>
      <c r="C292" s="413"/>
      <c r="D292" s="374" t="s">
        <v>127</v>
      </c>
      <c r="E292" s="374" t="s">
        <v>36</v>
      </c>
      <c r="F292" s="271">
        <v>96</v>
      </c>
      <c r="G292" s="342">
        <v>0</v>
      </c>
      <c r="H292" s="270"/>
      <c r="I292" s="347"/>
      <c r="J292" s="276"/>
      <c r="K292" s="350">
        <f t="shared" si="5"/>
        <v>0</v>
      </c>
    </row>
    <row r="293" spans="2:11">
      <c r="B293" s="413"/>
      <c r="C293" s="413"/>
      <c r="D293" s="374" t="s">
        <v>128</v>
      </c>
      <c r="E293" s="374" t="s">
        <v>12</v>
      </c>
      <c r="F293" s="271">
        <v>99</v>
      </c>
      <c r="G293" s="342">
        <v>0</v>
      </c>
      <c r="H293" s="276"/>
      <c r="I293" s="342"/>
      <c r="J293" s="276"/>
      <c r="K293" s="350">
        <f t="shared" si="5"/>
        <v>0</v>
      </c>
    </row>
    <row r="294" spans="2:11">
      <c r="B294" s="413"/>
      <c r="C294" s="413"/>
      <c r="D294" s="374" t="s">
        <v>129</v>
      </c>
      <c r="E294" s="374" t="s">
        <v>12</v>
      </c>
      <c r="F294" s="271">
        <v>147</v>
      </c>
      <c r="G294" s="342">
        <v>0</v>
      </c>
      <c r="H294" s="276"/>
      <c r="I294" s="342"/>
      <c r="J294" s="276"/>
      <c r="K294" s="350">
        <f t="shared" si="5"/>
        <v>0</v>
      </c>
    </row>
    <row r="295" spans="2:11">
      <c r="B295" s="413">
        <v>6</v>
      </c>
      <c r="C295" s="413" t="s">
        <v>53</v>
      </c>
      <c r="D295" s="374" t="s">
        <v>132</v>
      </c>
      <c r="E295" s="374" t="s">
        <v>158</v>
      </c>
      <c r="F295" s="271">
        <v>144</v>
      </c>
      <c r="G295" s="342">
        <v>0</v>
      </c>
      <c r="H295" s="276"/>
      <c r="I295" s="342"/>
      <c r="J295" s="276"/>
      <c r="K295" s="350">
        <f t="shared" si="5"/>
        <v>0</v>
      </c>
    </row>
    <row r="296" spans="2:11" ht="15.75">
      <c r="B296" s="413"/>
      <c r="C296" s="413"/>
      <c r="D296" s="374" t="s">
        <v>133</v>
      </c>
      <c r="E296" s="374" t="s">
        <v>26</v>
      </c>
      <c r="F296" s="271">
        <v>98</v>
      </c>
      <c r="G296" s="342">
        <v>19600</v>
      </c>
      <c r="H296" s="270">
        <v>33649804</v>
      </c>
      <c r="I296" s="347"/>
      <c r="J296" s="276"/>
      <c r="K296" s="350">
        <f t="shared" si="5"/>
        <v>19600</v>
      </c>
    </row>
    <row r="297" spans="2:11" ht="15.75">
      <c r="B297" s="413"/>
      <c r="C297" s="413"/>
      <c r="D297" s="374" t="s">
        <v>134</v>
      </c>
      <c r="E297" s="374" t="s">
        <v>27</v>
      </c>
      <c r="F297" s="271">
        <v>98</v>
      </c>
      <c r="G297" s="342">
        <v>19600</v>
      </c>
      <c r="H297" s="270">
        <v>33649805</v>
      </c>
      <c r="I297" s="347"/>
      <c r="J297" s="276"/>
      <c r="K297" s="350">
        <f t="shared" si="5"/>
        <v>19600</v>
      </c>
    </row>
    <row r="298" spans="2:11">
      <c r="B298" s="413"/>
      <c r="C298" s="413"/>
      <c r="D298" s="374" t="s">
        <v>135</v>
      </c>
      <c r="E298" s="374" t="s">
        <v>28</v>
      </c>
      <c r="F298" s="271">
        <v>99</v>
      </c>
      <c r="G298" s="342">
        <v>19200</v>
      </c>
      <c r="H298" s="270">
        <v>33649806</v>
      </c>
      <c r="I298" s="348">
        <f>G298</f>
        <v>19200</v>
      </c>
      <c r="J298" s="281" t="s">
        <v>512</v>
      </c>
      <c r="K298" s="350">
        <f t="shared" si="5"/>
        <v>0</v>
      </c>
    </row>
    <row r="299" spans="2:11">
      <c r="B299" s="413"/>
      <c r="C299" s="413"/>
      <c r="D299" s="374" t="s">
        <v>136</v>
      </c>
      <c r="E299" s="374" t="s">
        <v>511</v>
      </c>
      <c r="F299" s="271">
        <v>96</v>
      </c>
      <c r="G299" s="342">
        <v>19200</v>
      </c>
      <c r="H299" s="270">
        <v>33649807</v>
      </c>
      <c r="I299" s="348">
        <f>G299</f>
        <v>19200</v>
      </c>
      <c r="J299" s="281" t="s">
        <v>512</v>
      </c>
      <c r="K299" s="350">
        <f t="shared" si="5"/>
        <v>0</v>
      </c>
    </row>
    <row r="300" spans="2:11">
      <c r="B300" s="413"/>
      <c r="C300" s="413"/>
      <c r="D300" s="374" t="s">
        <v>137</v>
      </c>
      <c r="E300" s="374" t="s">
        <v>30</v>
      </c>
      <c r="F300" s="271">
        <v>96</v>
      </c>
      <c r="G300" s="342">
        <v>19200</v>
      </c>
      <c r="H300" s="270">
        <v>33649809</v>
      </c>
      <c r="I300" s="342">
        <f>G300</f>
        <v>19200</v>
      </c>
      <c r="J300" s="281" t="s">
        <v>509</v>
      </c>
      <c r="K300" s="350">
        <f t="shared" si="5"/>
        <v>0</v>
      </c>
    </row>
    <row r="301" spans="2:11" ht="15.75">
      <c r="B301" s="413"/>
      <c r="C301" s="413"/>
      <c r="D301" s="374" t="s">
        <v>138</v>
      </c>
      <c r="E301" s="374" t="s">
        <v>31</v>
      </c>
      <c r="F301" s="271">
        <v>147</v>
      </c>
      <c r="G301" s="342">
        <v>29400</v>
      </c>
      <c r="H301" s="270">
        <v>33649810</v>
      </c>
      <c r="I301" s="347"/>
      <c r="J301" s="276"/>
      <c r="K301" s="350">
        <f t="shared" si="5"/>
        <v>29400</v>
      </c>
    </row>
    <row r="302" spans="2:11">
      <c r="B302" s="413"/>
      <c r="C302" s="413"/>
      <c r="D302" s="374" t="s">
        <v>139</v>
      </c>
      <c r="E302" s="374" t="s">
        <v>158</v>
      </c>
      <c r="F302" s="271">
        <v>147</v>
      </c>
      <c r="G302" s="342">
        <v>0</v>
      </c>
      <c r="I302" s="348"/>
      <c r="J302" s="276"/>
      <c r="K302" s="350">
        <f t="shared" si="5"/>
        <v>0</v>
      </c>
    </row>
    <row r="303" spans="2:11" ht="15.75">
      <c r="B303" s="413"/>
      <c r="C303" s="413"/>
      <c r="D303" s="374" t="s">
        <v>140</v>
      </c>
      <c r="E303" s="374" t="s">
        <v>32</v>
      </c>
      <c r="F303" s="271">
        <v>99</v>
      </c>
      <c r="G303" s="342">
        <v>19800</v>
      </c>
      <c r="H303" s="270">
        <v>33649811</v>
      </c>
      <c r="I303" s="347"/>
      <c r="J303" s="276"/>
      <c r="K303" s="350">
        <f t="shared" si="5"/>
        <v>19800</v>
      </c>
    </row>
    <row r="304" spans="2:11">
      <c r="B304" s="413"/>
      <c r="C304" s="413"/>
      <c r="D304" s="374" t="s">
        <v>141</v>
      </c>
      <c r="E304" s="374" t="s">
        <v>158</v>
      </c>
      <c r="F304" s="271">
        <v>192</v>
      </c>
      <c r="G304" s="342">
        <v>0</v>
      </c>
      <c r="H304" s="333"/>
      <c r="I304" s="348"/>
      <c r="J304" s="276"/>
      <c r="K304" s="350">
        <f t="shared" si="5"/>
        <v>0</v>
      </c>
    </row>
    <row r="305" spans="2:11">
      <c r="B305" s="413"/>
      <c r="C305" s="413"/>
      <c r="D305" s="374" t="s">
        <v>142</v>
      </c>
      <c r="E305" s="374" t="s">
        <v>13</v>
      </c>
      <c r="F305" s="271">
        <v>96</v>
      </c>
      <c r="G305" s="342">
        <v>0</v>
      </c>
      <c r="H305" s="333"/>
      <c r="I305" s="348"/>
      <c r="J305" s="276"/>
      <c r="K305" s="350">
        <f t="shared" si="5"/>
        <v>0</v>
      </c>
    </row>
    <row r="306" spans="2:11">
      <c r="B306" s="413"/>
      <c r="C306" s="413"/>
      <c r="D306" s="374" t="s">
        <v>143</v>
      </c>
      <c r="E306" s="374" t="s">
        <v>158</v>
      </c>
      <c r="F306" s="271">
        <v>96</v>
      </c>
      <c r="G306" s="342">
        <v>0</v>
      </c>
      <c r="H306" s="276"/>
      <c r="I306" s="342"/>
      <c r="J306" s="276"/>
      <c r="K306" s="350">
        <f t="shared" si="5"/>
        <v>0</v>
      </c>
    </row>
    <row r="307" spans="2:11">
      <c r="B307" s="374">
        <v>7</v>
      </c>
      <c r="C307" s="374" t="s">
        <v>55</v>
      </c>
      <c r="D307" s="374" t="s">
        <v>144</v>
      </c>
      <c r="E307" s="374" t="s">
        <v>33</v>
      </c>
      <c r="F307" s="271">
        <v>96</v>
      </c>
      <c r="G307" s="342">
        <v>28800</v>
      </c>
      <c r="H307" s="276">
        <v>33649803</v>
      </c>
      <c r="I307" s="342">
        <f>G307</f>
        <v>28800</v>
      </c>
      <c r="J307" s="276" t="s">
        <v>510</v>
      </c>
      <c r="K307" s="350">
        <f t="shared" si="5"/>
        <v>0</v>
      </c>
    </row>
    <row r="308" spans="2:11">
      <c r="B308" s="273"/>
      <c r="C308" s="273"/>
      <c r="D308" s="273"/>
      <c r="E308" s="273"/>
      <c r="F308" s="274"/>
      <c r="G308" s="342"/>
      <c r="H308" s="327"/>
      <c r="I308" s="342"/>
      <c r="J308" s="327"/>
      <c r="K308" s="350"/>
    </row>
    <row r="309" spans="2:11">
      <c r="B309" s="412" t="s">
        <v>47</v>
      </c>
      <c r="C309" s="412"/>
      <c r="D309" s="412"/>
      <c r="E309" s="412"/>
      <c r="F309" s="412"/>
      <c r="G309" s="351">
        <f>SUM(G271:G307)</f>
        <v>260800</v>
      </c>
      <c r="H309" s="329"/>
      <c r="I309" s="351">
        <f>SUM(I271:I307)</f>
        <v>96000</v>
      </c>
      <c r="J309" s="329"/>
      <c r="K309" s="351">
        <f>SUM(K271:K307)</f>
        <v>164800</v>
      </c>
    </row>
    <row r="313" spans="2:11" ht="21">
      <c r="B313" s="414" t="s">
        <v>508</v>
      </c>
      <c r="C313" s="414"/>
      <c r="D313" s="414"/>
      <c r="E313" s="414"/>
      <c r="F313" s="414"/>
      <c r="G313" s="414"/>
      <c r="H313" s="414"/>
      <c r="I313" s="414"/>
      <c r="J313" s="414"/>
      <c r="K313" s="414"/>
    </row>
    <row r="314" spans="2:11" ht="15.75">
      <c r="B314" s="376" t="s">
        <v>161</v>
      </c>
      <c r="C314" s="376" t="s">
        <v>0</v>
      </c>
      <c r="D314" s="376" t="s">
        <v>160</v>
      </c>
      <c r="E314" s="376" t="s">
        <v>46</v>
      </c>
      <c r="F314" s="376" t="s">
        <v>162</v>
      </c>
      <c r="G314" s="341" t="s">
        <v>168</v>
      </c>
      <c r="H314" s="334" t="s">
        <v>307</v>
      </c>
      <c r="I314" s="346" t="s">
        <v>454</v>
      </c>
      <c r="J314" s="357" t="s">
        <v>308</v>
      </c>
      <c r="K314" s="346" t="s">
        <v>455</v>
      </c>
    </row>
    <row r="315" spans="2:11">
      <c r="B315" s="413">
        <v>1</v>
      </c>
      <c r="C315" s="413" t="s">
        <v>7</v>
      </c>
      <c r="D315" s="377" t="s">
        <v>115</v>
      </c>
      <c r="E315" s="377" t="s">
        <v>14</v>
      </c>
      <c r="F315" s="271">
        <v>96</v>
      </c>
      <c r="G315" s="342">
        <v>0</v>
      </c>
      <c r="H315" s="276"/>
      <c r="I315" s="342"/>
      <c r="J315" s="276" t="s">
        <v>311</v>
      </c>
      <c r="K315" s="350">
        <f>G315-I315</f>
        <v>0</v>
      </c>
    </row>
    <row r="316" spans="2:11">
      <c r="B316" s="413"/>
      <c r="C316" s="413"/>
      <c r="D316" s="377" t="s">
        <v>116</v>
      </c>
      <c r="E316" s="377" t="s">
        <v>15</v>
      </c>
      <c r="F316" s="271">
        <v>96</v>
      </c>
      <c r="G316" s="342">
        <v>0</v>
      </c>
      <c r="H316" s="276"/>
      <c r="I316" s="342"/>
      <c r="J316" s="276" t="s">
        <v>311</v>
      </c>
      <c r="K316" s="350">
        <f t="shared" ref="K316:K351" si="6">G316-I316</f>
        <v>0</v>
      </c>
    </row>
    <row r="317" spans="2:11" ht="15.75">
      <c r="B317" s="377">
        <v>2</v>
      </c>
      <c r="C317" s="377" t="s">
        <v>8</v>
      </c>
      <c r="D317" s="377" t="s">
        <v>112</v>
      </c>
      <c r="E317" s="377" t="s">
        <v>16</v>
      </c>
      <c r="F317" s="271">
        <v>96</v>
      </c>
      <c r="G317" s="342">
        <v>0</v>
      </c>
      <c r="H317" s="324"/>
      <c r="I317" s="347"/>
      <c r="J317" s="281"/>
      <c r="K317" s="350">
        <f t="shared" si="6"/>
        <v>0</v>
      </c>
    </row>
    <row r="318" spans="2:11">
      <c r="B318" s="413">
        <v>3</v>
      </c>
      <c r="C318" s="413" t="s">
        <v>5</v>
      </c>
      <c r="D318" s="377" t="s">
        <v>102</v>
      </c>
      <c r="E318" s="377" t="s">
        <v>23</v>
      </c>
      <c r="F318" s="271">
        <v>96</v>
      </c>
      <c r="G318" s="342">
        <v>0</v>
      </c>
      <c r="H318" s="333"/>
      <c r="I318" s="348"/>
      <c r="J318" s="276"/>
      <c r="K318" s="350">
        <f t="shared" si="6"/>
        <v>0</v>
      </c>
    </row>
    <row r="319" spans="2:11">
      <c r="B319" s="413"/>
      <c r="C319" s="413"/>
      <c r="D319" s="377" t="s">
        <v>117</v>
      </c>
      <c r="E319" s="377" t="s">
        <v>158</v>
      </c>
      <c r="F319" s="271">
        <v>98</v>
      </c>
      <c r="G319" s="342">
        <v>0</v>
      </c>
      <c r="H319" s="333"/>
      <c r="I319" s="348"/>
      <c r="J319" s="276"/>
      <c r="K319" s="350">
        <f t="shared" si="6"/>
        <v>0</v>
      </c>
    </row>
    <row r="320" spans="2:11">
      <c r="B320" s="413"/>
      <c r="C320" s="413"/>
      <c r="D320" s="377" t="s">
        <v>118</v>
      </c>
      <c r="E320" s="377" t="s">
        <v>158</v>
      </c>
      <c r="F320" s="271">
        <v>99</v>
      </c>
      <c r="G320" s="342">
        <v>0</v>
      </c>
      <c r="H320" s="333"/>
      <c r="I320" s="348"/>
      <c r="J320" s="276"/>
      <c r="K320" s="350">
        <f t="shared" si="6"/>
        <v>0</v>
      </c>
    </row>
    <row r="321" spans="2:11">
      <c r="B321" s="413"/>
      <c r="C321" s="413"/>
      <c r="D321" s="377" t="s">
        <v>119</v>
      </c>
      <c r="E321" s="377" t="s">
        <v>158</v>
      </c>
      <c r="F321" s="271">
        <v>147</v>
      </c>
      <c r="G321" s="342">
        <v>0</v>
      </c>
      <c r="H321" s="333"/>
      <c r="I321" s="348"/>
      <c r="J321" s="276"/>
      <c r="K321" s="350">
        <f t="shared" si="6"/>
        <v>0</v>
      </c>
    </row>
    <row r="322" spans="2:11">
      <c r="B322" s="413"/>
      <c r="C322" s="413"/>
      <c r="D322" s="377" t="s">
        <v>120</v>
      </c>
      <c r="E322" s="377" t="s">
        <v>158</v>
      </c>
      <c r="F322" s="271">
        <v>147</v>
      </c>
      <c r="G322" s="342">
        <v>0</v>
      </c>
      <c r="H322" s="333"/>
      <c r="I322" s="348"/>
      <c r="J322" s="276"/>
      <c r="K322" s="350">
        <f t="shared" si="6"/>
        <v>0</v>
      </c>
    </row>
    <row r="323" spans="2:11">
      <c r="B323" s="413"/>
      <c r="C323" s="413"/>
      <c r="D323" s="377" t="s">
        <v>121</v>
      </c>
      <c r="E323" s="377" t="s">
        <v>13</v>
      </c>
      <c r="F323" s="271">
        <v>99</v>
      </c>
      <c r="G323" s="342">
        <v>0</v>
      </c>
      <c r="H323" s="333"/>
      <c r="I323" s="348"/>
      <c r="J323" s="276"/>
      <c r="K323" s="350">
        <f t="shared" si="6"/>
        <v>0</v>
      </c>
    </row>
    <row r="324" spans="2:11">
      <c r="B324" s="413"/>
      <c r="C324" s="413"/>
      <c r="D324" s="377" t="s">
        <v>122</v>
      </c>
      <c r="E324" s="377" t="s">
        <v>158</v>
      </c>
      <c r="F324" s="271">
        <v>192</v>
      </c>
      <c r="G324" s="342">
        <v>0</v>
      </c>
      <c r="H324" s="333"/>
      <c r="I324" s="348"/>
      <c r="J324" s="276"/>
      <c r="K324" s="350">
        <f t="shared" si="6"/>
        <v>0</v>
      </c>
    </row>
    <row r="325" spans="2:11">
      <c r="B325" s="413">
        <v>4</v>
      </c>
      <c r="C325" s="413" t="s">
        <v>4</v>
      </c>
      <c r="D325" s="377" t="s">
        <v>145</v>
      </c>
      <c r="E325" s="377" t="s">
        <v>13</v>
      </c>
      <c r="F325" s="271">
        <v>144</v>
      </c>
      <c r="G325" s="342">
        <v>0</v>
      </c>
      <c r="H325" s="333"/>
      <c r="I325" s="348"/>
      <c r="J325" s="276"/>
      <c r="K325" s="350">
        <f t="shared" si="6"/>
        <v>0</v>
      </c>
    </row>
    <row r="326" spans="2:11" ht="15.75">
      <c r="B326" s="413"/>
      <c r="C326" s="413"/>
      <c r="D326" s="377" t="s">
        <v>146</v>
      </c>
      <c r="E326" s="377" t="s">
        <v>17</v>
      </c>
      <c r="F326" s="271">
        <v>96</v>
      </c>
      <c r="G326" s="342">
        <v>0</v>
      </c>
      <c r="H326" s="324"/>
      <c r="I326" s="347"/>
      <c r="J326" s="276"/>
      <c r="K326" s="350">
        <f t="shared" si="6"/>
        <v>0</v>
      </c>
    </row>
    <row r="327" spans="2:11" ht="15.75">
      <c r="B327" s="413"/>
      <c r="C327" s="413"/>
      <c r="D327" s="377" t="s">
        <v>147</v>
      </c>
      <c r="E327" s="377" t="s">
        <v>18</v>
      </c>
      <c r="F327" s="271">
        <v>96</v>
      </c>
      <c r="G327" s="342">
        <v>0</v>
      </c>
      <c r="H327" s="324"/>
      <c r="I327" s="347"/>
      <c r="J327" s="276"/>
      <c r="K327" s="350">
        <f t="shared" si="6"/>
        <v>0</v>
      </c>
    </row>
    <row r="328" spans="2:11" ht="15.75">
      <c r="B328" s="413"/>
      <c r="C328" s="413"/>
      <c r="D328" s="377" t="s">
        <v>148</v>
      </c>
      <c r="E328" s="377" t="s">
        <v>19</v>
      </c>
      <c r="F328" s="271">
        <v>96</v>
      </c>
      <c r="G328" s="342">
        <v>0</v>
      </c>
      <c r="H328" s="324"/>
      <c r="I328" s="347"/>
      <c r="J328" s="276"/>
      <c r="K328" s="350">
        <f t="shared" si="6"/>
        <v>0</v>
      </c>
    </row>
    <row r="329" spans="2:11" ht="15.75">
      <c r="B329" s="413"/>
      <c r="C329" s="413"/>
      <c r="D329" s="377" t="s">
        <v>149</v>
      </c>
      <c r="E329" s="377" t="s">
        <v>20</v>
      </c>
      <c r="F329" s="271">
        <v>118</v>
      </c>
      <c r="G329" s="342">
        <v>0</v>
      </c>
      <c r="H329" s="324"/>
      <c r="I329" s="347"/>
      <c r="J329" s="276"/>
      <c r="K329" s="350">
        <f t="shared" si="6"/>
        <v>0</v>
      </c>
    </row>
    <row r="330" spans="2:11" ht="15.75">
      <c r="B330" s="413"/>
      <c r="C330" s="413"/>
      <c r="D330" s="377" t="s">
        <v>150</v>
      </c>
      <c r="E330" s="377" t="s">
        <v>20</v>
      </c>
      <c r="F330" s="271">
        <v>118</v>
      </c>
      <c r="G330" s="342">
        <v>0</v>
      </c>
      <c r="H330" s="324"/>
      <c r="I330" s="347"/>
      <c r="J330" s="276"/>
      <c r="K330" s="350">
        <f t="shared" si="6"/>
        <v>0</v>
      </c>
    </row>
    <row r="331" spans="2:11" ht="15.75">
      <c r="B331" s="413"/>
      <c r="C331" s="413"/>
      <c r="D331" s="377" t="s">
        <v>151</v>
      </c>
      <c r="E331" s="377" t="s">
        <v>21</v>
      </c>
      <c r="F331" s="271">
        <v>96</v>
      </c>
      <c r="G331" s="342">
        <v>0</v>
      </c>
      <c r="H331" s="324"/>
      <c r="I331" s="347"/>
      <c r="J331" s="276"/>
      <c r="K331" s="350">
        <f t="shared" si="6"/>
        <v>0</v>
      </c>
    </row>
    <row r="332" spans="2:11">
      <c r="B332" s="413"/>
      <c r="C332" s="413"/>
      <c r="D332" s="377" t="s">
        <v>152</v>
      </c>
      <c r="E332" s="377" t="s">
        <v>12</v>
      </c>
      <c r="F332" s="271">
        <v>96</v>
      </c>
      <c r="G332" s="342">
        <v>0</v>
      </c>
      <c r="H332" s="333"/>
      <c r="I332" s="348"/>
      <c r="J332" s="276"/>
      <c r="K332" s="350">
        <f t="shared" si="6"/>
        <v>0</v>
      </c>
    </row>
    <row r="333" spans="2:11" ht="15.75">
      <c r="B333" s="413"/>
      <c r="C333" s="413"/>
      <c r="D333" s="377" t="s">
        <v>153</v>
      </c>
      <c r="E333" s="377" t="s">
        <v>22</v>
      </c>
      <c r="F333" s="271">
        <v>96</v>
      </c>
      <c r="G333" s="342">
        <v>0</v>
      </c>
      <c r="H333" s="324"/>
      <c r="I333" s="347"/>
      <c r="J333" s="276"/>
      <c r="K333" s="350">
        <f t="shared" si="6"/>
        <v>0</v>
      </c>
    </row>
    <row r="334" spans="2:11">
      <c r="B334" s="413"/>
      <c r="C334" s="413"/>
      <c r="D334" s="377" t="s">
        <v>154</v>
      </c>
      <c r="E334" s="377" t="s">
        <v>13</v>
      </c>
      <c r="F334" s="271">
        <v>144</v>
      </c>
      <c r="G334" s="342">
        <v>0</v>
      </c>
      <c r="H334" s="333"/>
      <c r="I334" s="348"/>
      <c r="J334" s="276"/>
      <c r="K334" s="350">
        <f t="shared" si="6"/>
        <v>0</v>
      </c>
    </row>
    <row r="335" spans="2:11" ht="15.75">
      <c r="B335" s="413">
        <v>5</v>
      </c>
      <c r="C335" s="413" t="s">
        <v>34</v>
      </c>
      <c r="D335" s="377" t="s">
        <v>126</v>
      </c>
      <c r="E335" s="377" t="s">
        <v>35</v>
      </c>
      <c r="F335" s="271">
        <v>96</v>
      </c>
      <c r="G335" s="342">
        <v>0</v>
      </c>
      <c r="H335" s="324"/>
      <c r="I335" s="347"/>
      <c r="J335" s="276"/>
      <c r="K335" s="350">
        <f t="shared" si="6"/>
        <v>0</v>
      </c>
    </row>
    <row r="336" spans="2:11" ht="15.75">
      <c r="B336" s="413"/>
      <c r="C336" s="413"/>
      <c r="D336" s="377" t="s">
        <v>127</v>
      </c>
      <c r="E336" s="377" t="s">
        <v>36</v>
      </c>
      <c r="F336" s="271">
        <v>96</v>
      </c>
      <c r="G336" s="342">
        <v>0</v>
      </c>
      <c r="H336" s="324"/>
      <c r="I336" s="347"/>
      <c r="J336" s="276"/>
      <c r="K336" s="350">
        <f t="shared" si="6"/>
        <v>0</v>
      </c>
    </row>
    <row r="337" spans="2:12">
      <c r="B337" s="413"/>
      <c r="C337" s="413"/>
      <c r="D337" s="377" t="s">
        <v>128</v>
      </c>
      <c r="E337" s="377" t="s">
        <v>12</v>
      </c>
      <c r="F337" s="271">
        <v>99</v>
      </c>
      <c r="G337" s="342">
        <v>0</v>
      </c>
      <c r="H337" s="276"/>
      <c r="I337" s="342"/>
      <c r="J337" s="276"/>
      <c r="K337" s="350">
        <f t="shared" si="6"/>
        <v>0</v>
      </c>
    </row>
    <row r="338" spans="2:12">
      <c r="B338" s="413"/>
      <c r="C338" s="413"/>
      <c r="D338" s="377" t="s">
        <v>129</v>
      </c>
      <c r="E338" s="377" t="s">
        <v>12</v>
      </c>
      <c r="F338" s="271">
        <v>147</v>
      </c>
      <c r="G338" s="342">
        <v>0</v>
      </c>
      <c r="H338" s="276"/>
      <c r="I338" s="342"/>
      <c r="J338" s="276"/>
      <c r="K338" s="350">
        <f t="shared" si="6"/>
        <v>0</v>
      </c>
    </row>
    <row r="339" spans="2:12">
      <c r="B339" s="413">
        <v>6</v>
      </c>
      <c r="C339" s="413" t="s">
        <v>53</v>
      </c>
      <c r="D339" s="377" t="s">
        <v>132</v>
      </c>
      <c r="E339" s="377" t="s">
        <v>158</v>
      </c>
      <c r="F339" s="271">
        <v>144</v>
      </c>
      <c r="G339" s="342">
        <v>0</v>
      </c>
      <c r="H339" s="276"/>
      <c r="I339" s="342"/>
      <c r="J339" s="276"/>
      <c r="K339" s="350">
        <f t="shared" si="6"/>
        <v>0</v>
      </c>
    </row>
    <row r="340" spans="2:12" ht="15.75">
      <c r="B340" s="413"/>
      <c r="C340" s="413"/>
      <c r="D340" s="377" t="s">
        <v>133</v>
      </c>
      <c r="E340" s="377" t="s">
        <v>26</v>
      </c>
      <c r="F340" s="271">
        <v>98</v>
      </c>
      <c r="G340" s="342">
        <v>19600</v>
      </c>
      <c r="H340" s="270">
        <v>33649822</v>
      </c>
      <c r="I340" s="347"/>
      <c r="J340" s="276"/>
      <c r="K340" s="350">
        <f t="shared" si="6"/>
        <v>19600</v>
      </c>
    </row>
    <row r="341" spans="2:12" ht="15.75">
      <c r="B341" s="413"/>
      <c r="C341" s="413"/>
      <c r="D341" s="377" t="s">
        <v>134</v>
      </c>
      <c r="E341" s="377" t="s">
        <v>27</v>
      </c>
      <c r="F341" s="271">
        <v>98</v>
      </c>
      <c r="G341" s="342">
        <v>19600</v>
      </c>
      <c r="H341" s="270">
        <v>33649823</v>
      </c>
      <c r="I341" s="347"/>
      <c r="J341" s="276"/>
      <c r="K341" s="350">
        <f t="shared" si="6"/>
        <v>19600</v>
      </c>
    </row>
    <row r="342" spans="2:12">
      <c r="B342" s="413"/>
      <c r="C342" s="413"/>
      <c r="D342" s="377" t="s">
        <v>135</v>
      </c>
      <c r="E342" s="377" t="s">
        <v>28</v>
      </c>
      <c r="F342" s="271">
        <v>99</v>
      </c>
      <c r="G342" s="342">
        <v>19200</v>
      </c>
      <c r="H342" s="270">
        <v>33649824</v>
      </c>
      <c r="I342" s="348">
        <f>G342</f>
        <v>19200</v>
      </c>
      <c r="J342" s="281" t="s">
        <v>512</v>
      </c>
      <c r="K342" s="350">
        <f t="shared" si="6"/>
        <v>0</v>
      </c>
    </row>
    <row r="343" spans="2:12">
      <c r="B343" s="413"/>
      <c r="C343" s="413"/>
      <c r="D343" s="377" t="s">
        <v>136</v>
      </c>
      <c r="E343" s="377" t="s">
        <v>29</v>
      </c>
      <c r="F343" s="271">
        <v>96</v>
      </c>
      <c r="G343" s="342">
        <v>19200</v>
      </c>
      <c r="H343" s="270">
        <v>33649825</v>
      </c>
      <c r="I343" s="348">
        <f>G343</f>
        <v>19200</v>
      </c>
      <c r="J343" s="281" t="s">
        <v>512</v>
      </c>
      <c r="K343" s="350">
        <f t="shared" si="6"/>
        <v>0</v>
      </c>
    </row>
    <row r="344" spans="2:12">
      <c r="B344" s="413"/>
      <c r="C344" s="413"/>
      <c r="D344" s="377" t="s">
        <v>137</v>
      </c>
      <c r="E344" s="377" t="s">
        <v>30</v>
      </c>
      <c r="F344" s="271">
        <v>96</v>
      </c>
      <c r="G344" s="342">
        <v>19200</v>
      </c>
      <c r="H344" s="270">
        <v>33746801</v>
      </c>
      <c r="I344" s="348">
        <f>G344</f>
        <v>19200</v>
      </c>
      <c r="J344" s="281" t="s">
        <v>509</v>
      </c>
      <c r="K344" s="350">
        <f t="shared" si="6"/>
        <v>0</v>
      </c>
    </row>
    <row r="345" spans="2:12" ht="15.75">
      <c r="B345" s="413"/>
      <c r="C345" s="413"/>
      <c r="D345" s="377" t="s">
        <v>138</v>
      </c>
      <c r="E345" s="377" t="s">
        <v>31</v>
      </c>
      <c r="F345" s="271">
        <v>147</v>
      </c>
      <c r="G345" s="342">
        <v>29400</v>
      </c>
      <c r="H345" s="270">
        <v>33746802</v>
      </c>
      <c r="I345" s="347"/>
      <c r="J345" s="276"/>
      <c r="K345" s="350">
        <f t="shared" si="6"/>
        <v>29400</v>
      </c>
    </row>
    <row r="346" spans="2:12">
      <c r="B346" s="413"/>
      <c r="C346" s="413"/>
      <c r="D346" s="377" t="s">
        <v>139</v>
      </c>
      <c r="E346" s="377" t="s">
        <v>158</v>
      </c>
      <c r="F346" s="271">
        <v>147</v>
      </c>
      <c r="G346" s="342">
        <v>0</v>
      </c>
      <c r="I346" s="348"/>
      <c r="J346" s="276"/>
      <c r="K346" s="350">
        <f t="shared" si="6"/>
        <v>0</v>
      </c>
    </row>
    <row r="347" spans="2:12" ht="15.75">
      <c r="B347" s="413"/>
      <c r="C347" s="413"/>
      <c r="D347" s="377" t="s">
        <v>140</v>
      </c>
      <c r="E347" s="377" t="s">
        <v>32</v>
      </c>
      <c r="F347" s="271">
        <v>99</v>
      </c>
      <c r="G347" s="342">
        <v>19800</v>
      </c>
      <c r="H347" s="270">
        <v>33746803</v>
      </c>
      <c r="I347" s="347"/>
      <c r="J347" s="276"/>
      <c r="K347" s="350">
        <f t="shared" si="6"/>
        <v>19800</v>
      </c>
    </row>
    <row r="348" spans="2:12">
      <c r="B348" s="413"/>
      <c r="C348" s="413"/>
      <c r="D348" s="377" t="s">
        <v>141</v>
      </c>
      <c r="E348" s="377" t="s">
        <v>158</v>
      </c>
      <c r="F348" s="271">
        <v>192</v>
      </c>
      <c r="G348" s="342">
        <v>0</v>
      </c>
      <c r="H348" s="333"/>
      <c r="I348" s="348"/>
      <c r="J348" s="276"/>
      <c r="K348" s="350">
        <f t="shared" si="6"/>
        <v>0</v>
      </c>
    </row>
    <row r="349" spans="2:12">
      <c r="B349" s="413"/>
      <c r="C349" s="413"/>
      <c r="D349" s="377" t="s">
        <v>142</v>
      </c>
      <c r="E349" s="377" t="s">
        <v>13</v>
      </c>
      <c r="F349" s="271">
        <v>96</v>
      </c>
      <c r="G349" s="342">
        <v>0</v>
      </c>
      <c r="H349" s="333"/>
      <c r="I349" s="348"/>
      <c r="J349" s="276"/>
      <c r="K349" s="350">
        <f t="shared" si="6"/>
        <v>0</v>
      </c>
    </row>
    <row r="350" spans="2:12">
      <c r="B350" s="413"/>
      <c r="C350" s="413"/>
      <c r="D350" s="377" t="s">
        <v>143</v>
      </c>
      <c r="E350" s="377" t="s">
        <v>158</v>
      </c>
      <c r="F350" s="271">
        <v>96</v>
      </c>
      <c r="G350" s="342">
        <v>0</v>
      </c>
      <c r="H350" s="276"/>
      <c r="I350" s="342"/>
      <c r="J350" s="276"/>
      <c r="K350" s="350">
        <f t="shared" si="6"/>
        <v>0</v>
      </c>
    </row>
    <row r="351" spans="2:12">
      <c r="B351" s="377">
        <v>7</v>
      </c>
      <c r="C351" s="377" t="s">
        <v>55</v>
      </c>
      <c r="D351" s="377" t="s">
        <v>144</v>
      </c>
      <c r="E351" s="377" t="s">
        <v>33</v>
      </c>
      <c r="F351" s="271">
        <v>96</v>
      </c>
      <c r="G351" s="342">
        <v>28800</v>
      </c>
      <c r="H351" s="276"/>
      <c r="I351" s="342"/>
      <c r="J351" s="276"/>
      <c r="K351" s="350">
        <f t="shared" si="6"/>
        <v>28800</v>
      </c>
      <c r="L351" s="356">
        <f>G351-I351</f>
        <v>28800</v>
      </c>
    </row>
    <row r="352" spans="2:12">
      <c r="B352" s="273"/>
      <c r="C352" s="273"/>
      <c r="D352" s="273"/>
      <c r="E352" s="273"/>
      <c r="F352" s="274"/>
      <c r="G352" s="342"/>
      <c r="H352" s="327"/>
      <c r="I352" s="342"/>
      <c r="J352" s="327"/>
      <c r="K352" s="350"/>
    </row>
    <row r="353" spans="2:11">
      <c r="B353" s="412" t="s">
        <v>47</v>
      </c>
      <c r="C353" s="412"/>
      <c r="D353" s="412"/>
      <c r="E353" s="412"/>
      <c r="F353" s="412"/>
      <c r="G353" s="351">
        <f>SUM(G315:G351)</f>
        <v>174800</v>
      </c>
      <c r="H353" s="329"/>
      <c r="I353" s="351">
        <f>SUM(I315:I351)</f>
        <v>57600</v>
      </c>
      <c r="J353" s="329"/>
      <c r="K353" s="351">
        <f>SUM(K315:K351)</f>
        <v>117200</v>
      </c>
    </row>
  </sheetData>
  <mergeCells count="105">
    <mergeCell ref="B309:F309"/>
    <mergeCell ref="C281:C290"/>
    <mergeCell ref="C291:C294"/>
    <mergeCell ref="C295:C306"/>
    <mergeCell ref="B269:K269"/>
    <mergeCell ref="B271:B272"/>
    <mergeCell ref="B274:B280"/>
    <mergeCell ref="B281:B290"/>
    <mergeCell ref="B291:B294"/>
    <mergeCell ref="C271:C272"/>
    <mergeCell ref="C274:C280"/>
    <mergeCell ref="B175:F175"/>
    <mergeCell ref="B137:B138"/>
    <mergeCell ref="C137:C138"/>
    <mergeCell ref="B140:B146"/>
    <mergeCell ref="C140:C146"/>
    <mergeCell ref="B147:B156"/>
    <mergeCell ref="C147:C156"/>
    <mergeCell ref="B157:B160"/>
    <mergeCell ref="B295:B306"/>
    <mergeCell ref="B179:K179"/>
    <mergeCell ref="B224:K224"/>
    <mergeCell ref="B246:B249"/>
    <mergeCell ref="C246:C249"/>
    <mergeCell ref="B201:B204"/>
    <mergeCell ref="C201:C204"/>
    <mergeCell ref="B205:B216"/>
    <mergeCell ref="C205:C216"/>
    <mergeCell ref="B219:F219"/>
    <mergeCell ref="B181:B182"/>
    <mergeCell ref="C181:C182"/>
    <mergeCell ref="B184:B190"/>
    <mergeCell ref="C184:C190"/>
    <mergeCell ref="B191:B200"/>
    <mergeCell ref="C191:C200"/>
    <mergeCell ref="B250:B261"/>
    <mergeCell ref="C250:C261"/>
    <mergeCell ref="B264:F264"/>
    <mergeCell ref="B226:B227"/>
    <mergeCell ref="C226:C227"/>
    <mergeCell ref="B229:B235"/>
    <mergeCell ref="C229:C235"/>
    <mergeCell ref="B236:B245"/>
    <mergeCell ref="C236:C245"/>
    <mergeCell ref="C157:C160"/>
    <mergeCell ref="B161:B172"/>
    <mergeCell ref="C161:C172"/>
    <mergeCell ref="B116:B127"/>
    <mergeCell ref="C116:C127"/>
    <mergeCell ref="B130:F130"/>
    <mergeCell ref="B95:B101"/>
    <mergeCell ref="C95:C101"/>
    <mergeCell ref="B102:B111"/>
    <mergeCell ref="C102:C111"/>
    <mergeCell ref="B112:B115"/>
    <mergeCell ref="C112:C115"/>
    <mergeCell ref="B135:K135"/>
    <mergeCell ref="G3:K3"/>
    <mergeCell ref="AA3:AE3"/>
    <mergeCell ref="V3:Z3"/>
    <mergeCell ref="Q3:U3"/>
    <mergeCell ref="L3:P3"/>
    <mergeCell ref="B92:B93"/>
    <mergeCell ref="C92:C93"/>
    <mergeCell ref="B73:B84"/>
    <mergeCell ref="C73:C84"/>
    <mergeCell ref="B87:F87"/>
    <mergeCell ref="B90:K90"/>
    <mergeCell ref="B15:B24"/>
    <mergeCell ref="C15:C24"/>
    <mergeCell ref="B25:B28"/>
    <mergeCell ref="C25:C28"/>
    <mergeCell ref="B69:B72"/>
    <mergeCell ref="C69:C72"/>
    <mergeCell ref="B49:B50"/>
    <mergeCell ref="C49:C50"/>
    <mergeCell ref="B29:B40"/>
    <mergeCell ref="C29:C40"/>
    <mergeCell ref="B43:F43"/>
    <mergeCell ref="B47:K47"/>
    <mergeCell ref="B52:B58"/>
    <mergeCell ref="C52:C58"/>
    <mergeCell ref="B59:B68"/>
    <mergeCell ref="C59:C68"/>
    <mergeCell ref="E3:E4"/>
    <mergeCell ref="F3:F4"/>
    <mergeCell ref="B5:B6"/>
    <mergeCell ref="C5:C6"/>
    <mergeCell ref="B3:B4"/>
    <mergeCell ref="C3:C4"/>
    <mergeCell ref="D3:D4"/>
    <mergeCell ref="B8:B14"/>
    <mergeCell ref="C8:C14"/>
    <mergeCell ref="B353:F353"/>
    <mergeCell ref="B325:B334"/>
    <mergeCell ref="C325:C334"/>
    <mergeCell ref="B335:B338"/>
    <mergeCell ref="C335:C338"/>
    <mergeCell ref="B339:B350"/>
    <mergeCell ref="C339:C350"/>
    <mergeCell ref="B313:K313"/>
    <mergeCell ref="B315:B316"/>
    <mergeCell ref="C315:C316"/>
    <mergeCell ref="B318:B324"/>
    <mergeCell ref="C318:C324"/>
  </mergeCells>
  <conditionalFormatting sqref="D7">
    <cfRule type="duplicateValues" dxfId="455" priority="173"/>
    <cfRule type="duplicateValues" dxfId="454" priority="174"/>
  </conditionalFormatting>
  <conditionalFormatting sqref="D15:D24">
    <cfRule type="duplicateValues" dxfId="453" priority="171"/>
    <cfRule type="duplicateValues" dxfId="452" priority="172"/>
  </conditionalFormatting>
  <conditionalFormatting sqref="D8:D11">
    <cfRule type="duplicateValues" dxfId="451" priority="169"/>
    <cfRule type="duplicateValues" dxfId="450" priority="170"/>
  </conditionalFormatting>
  <conditionalFormatting sqref="D12:D14">
    <cfRule type="duplicateValues" dxfId="449" priority="167"/>
    <cfRule type="duplicateValues" dxfId="448" priority="168"/>
  </conditionalFormatting>
  <conditionalFormatting sqref="D29:D35">
    <cfRule type="duplicateValues" dxfId="447" priority="165"/>
    <cfRule type="duplicateValues" dxfId="446" priority="166"/>
  </conditionalFormatting>
  <conditionalFormatting sqref="D41">
    <cfRule type="duplicateValues" dxfId="445" priority="163"/>
    <cfRule type="duplicateValues" dxfId="444" priority="164"/>
  </conditionalFormatting>
  <conditionalFormatting sqref="D25:D28">
    <cfRule type="duplicateValues" dxfId="443" priority="161"/>
    <cfRule type="duplicateValues" dxfId="442" priority="162"/>
  </conditionalFormatting>
  <conditionalFormatting sqref="D36:D40">
    <cfRule type="duplicateValues" dxfId="441" priority="175"/>
    <cfRule type="duplicateValues" dxfId="440" priority="176"/>
  </conditionalFormatting>
  <conditionalFormatting sqref="D5:D6">
    <cfRule type="duplicateValues" dxfId="439" priority="177"/>
    <cfRule type="duplicateValues" dxfId="438" priority="178"/>
  </conditionalFormatting>
  <conditionalFormatting sqref="D5:D42">
    <cfRule type="duplicateValues" dxfId="437" priority="179"/>
    <cfRule type="duplicateValues" dxfId="436" priority="180"/>
  </conditionalFormatting>
  <conditionalFormatting sqref="D51">
    <cfRule type="duplicateValues" dxfId="435" priority="133"/>
    <cfRule type="duplicateValues" dxfId="434" priority="134"/>
  </conditionalFormatting>
  <conditionalFormatting sqref="D59:D68">
    <cfRule type="duplicateValues" dxfId="433" priority="131"/>
    <cfRule type="duplicateValues" dxfId="432" priority="132"/>
  </conditionalFormatting>
  <conditionalFormatting sqref="D52:D55">
    <cfRule type="duplicateValues" dxfId="431" priority="129"/>
    <cfRule type="duplicateValues" dxfId="430" priority="130"/>
  </conditionalFormatting>
  <conditionalFormatting sqref="D56:D58">
    <cfRule type="duplicateValues" dxfId="429" priority="127"/>
    <cfRule type="duplicateValues" dxfId="428" priority="128"/>
  </conditionalFormatting>
  <conditionalFormatting sqref="D73:D79">
    <cfRule type="duplicateValues" dxfId="427" priority="125"/>
    <cfRule type="duplicateValues" dxfId="426" priority="126"/>
  </conditionalFormatting>
  <conditionalFormatting sqref="D85">
    <cfRule type="duplicateValues" dxfId="425" priority="123"/>
    <cfRule type="duplicateValues" dxfId="424" priority="124"/>
  </conditionalFormatting>
  <conditionalFormatting sqref="D69:D72">
    <cfRule type="duplicateValues" dxfId="423" priority="121"/>
    <cfRule type="duplicateValues" dxfId="422" priority="122"/>
  </conditionalFormatting>
  <conditionalFormatting sqref="D80:D84">
    <cfRule type="duplicateValues" dxfId="421" priority="135"/>
    <cfRule type="duplicateValues" dxfId="420" priority="136"/>
  </conditionalFormatting>
  <conditionalFormatting sqref="D49:D50">
    <cfRule type="duplicateValues" dxfId="419" priority="137"/>
    <cfRule type="duplicateValues" dxfId="418" priority="138"/>
  </conditionalFormatting>
  <conditionalFormatting sqref="D49:D86">
    <cfRule type="duplicateValues" dxfId="417" priority="139"/>
    <cfRule type="duplicateValues" dxfId="416" priority="140"/>
  </conditionalFormatting>
  <conditionalFormatting sqref="D94">
    <cfRule type="duplicateValues" dxfId="415" priority="113"/>
    <cfRule type="duplicateValues" dxfId="414" priority="114"/>
  </conditionalFormatting>
  <conditionalFormatting sqref="D102:D111">
    <cfRule type="duplicateValues" dxfId="413" priority="111"/>
    <cfRule type="duplicateValues" dxfId="412" priority="112"/>
  </conditionalFormatting>
  <conditionalFormatting sqref="D95:D98">
    <cfRule type="duplicateValues" dxfId="411" priority="109"/>
    <cfRule type="duplicateValues" dxfId="410" priority="110"/>
  </conditionalFormatting>
  <conditionalFormatting sqref="D99:D101">
    <cfRule type="duplicateValues" dxfId="409" priority="107"/>
    <cfRule type="duplicateValues" dxfId="408" priority="108"/>
  </conditionalFormatting>
  <conditionalFormatting sqref="D116:D122">
    <cfRule type="duplicateValues" dxfId="407" priority="105"/>
    <cfRule type="duplicateValues" dxfId="406" priority="106"/>
  </conditionalFormatting>
  <conditionalFormatting sqref="D128">
    <cfRule type="duplicateValues" dxfId="405" priority="103"/>
    <cfRule type="duplicateValues" dxfId="404" priority="104"/>
  </conditionalFormatting>
  <conditionalFormatting sqref="D112:D115">
    <cfRule type="duplicateValues" dxfId="403" priority="101"/>
    <cfRule type="duplicateValues" dxfId="402" priority="102"/>
  </conditionalFormatting>
  <conditionalFormatting sqref="D123:D127">
    <cfRule type="duplicateValues" dxfId="401" priority="115"/>
    <cfRule type="duplicateValues" dxfId="400" priority="116"/>
  </conditionalFormatting>
  <conditionalFormatting sqref="D92:D93">
    <cfRule type="duplicateValues" dxfId="399" priority="117"/>
    <cfRule type="duplicateValues" dxfId="398" priority="118"/>
  </conditionalFormatting>
  <conditionalFormatting sqref="D92:D129">
    <cfRule type="duplicateValues" dxfId="397" priority="119"/>
    <cfRule type="duplicateValues" dxfId="396" priority="120"/>
  </conditionalFormatting>
  <conditionalFormatting sqref="D139">
    <cfRule type="duplicateValues" dxfId="395" priority="93"/>
    <cfRule type="duplicateValues" dxfId="394" priority="94"/>
  </conditionalFormatting>
  <conditionalFormatting sqref="D147:D156">
    <cfRule type="duplicateValues" dxfId="393" priority="91"/>
    <cfRule type="duplicateValues" dxfId="392" priority="92"/>
  </conditionalFormatting>
  <conditionalFormatting sqref="D140:D143">
    <cfRule type="duplicateValues" dxfId="391" priority="89"/>
    <cfRule type="duplicateValues" dxfId="390" priority="90"/>
  </conditionalFormatting>
  <conditionalFormatting sqref="D144:D146">
    <cfRule type="duplicateValues" dxfId="389" priority="87"/>
    <cfRule type="duplicateValues" dxfId="388" priority="88"/>
  </conditionalFormatting>
  <conditionalFormatting sqref="D161:D167">
    <cfRule type="duplicateValues" dxfId="387" priority="85"/>
    <cfRule type="duplicateValues" dxfId="386" priority="86"/>
  </conditionalFormatting>
  <conditionalFormatting sqref="D173">
    <cfRule type="duplicateValues" dxfId="385" priority="83"/>
    <cfRule type="duplicateValues" dxfId="384" priority="84"/>
  </conditionalFormatting>
  <conditionalFormatting sqref="D157:D160">
    <cfRule type="duplicateValues" dxfId="383" priority="81"/>
    <cfRule type="duplicateValues" dxfId="382" priority="82"/>
  </conditionalFormatting>
  <conditionalFormatting sqref="D168:D172">
    <cfRule type="duplicateValues" dxfId="381" priority="95"/>
    <cfRule type="duplicateValues" dxfId="380" priority="96"/>
  </conditionalFormatting>
  <conditionalFormatting sqref="D137:D138">
    <cfRule type="duplicateValues" dxfId="379" priority="97"/>
    <cfRule type="duplicateValues" dxfId="378" priority="98"/>
  </conditionalFormatting>
  <conditionalFormatting sqref="D137:D174">
    <cfRule type="duplicateValues" dxfId="377" priority="99"/>
    <cfRule type="duplicateValues" dxfId="376" priority="100"/>
  </conditionalFormatting>
  <conditionalFormatting sqref="D183">
    <cfRule type="duplicateValues" dxfId="375" priority="73"/>
    <cfRule type="duplicateValues" dxfId="374" priority="74"/>
  </conditionalFormatting>
  <conditionalFormatting sqref="D191:D200">
    <cfRule type="duplicateValues" dxfId="373" priority="71"/>
    <cfRule type="duplicateValues" dxfId="372" priority="72"/>
  </conditionalFormatting>
  <conditionalFormatting sqref="D184:D187">
    <cfRule type="duplicateValues" dxfId="371" priority="69"/>
    <cfRule type="duplicateValues" dxfId="370" priority="70"/>
  </conditionalFormatting>
  <conditionalFormatting sqref="D188:D190">
    <cfRule type="duplicateValues" dxfId="369" priority="67"/>
    <cfRule type="duplicateValues" dxfId="368" priority="68"/>
  </conditionalFormatting>
  <conditionalFormatting sqref="D205:D211">
    <cfRule type="duplicateValues" dxfId="367" priority="65"/>
    <cfRule type="duplicateValues" dxfId="366" priority="66"/>
  </conditionalFormatting>
  <conditionalFormatting sqref="D217">
    <cfRule type="duplicateValues" dxfId="365" priority="63"/>
    <cfRule type="duplicateValues" dxfId="364" priority="64"/>
  </conditionalFormatting>
  <conditionalFormatting sqref="D201:D204">
    <cfRule type="duplicateValues" dxfId="363" priority="61"/>
    <cfRule type="duplicateValues" dxfId="362" priority="62"/>
  </conditionalFormatting>
  <conditionalFormatting sqref="D212:D216">
    <cfRule type="duplicateValues" dxfId="361" priority="75"/>
    <cfRule type="duplicateValues" dxfId="360" priority="76"/>
  </conditionalFormatting>
  <conditionalFormatting sqref="D181:D182">
    <cfRule type="duplicateValues" dxfId="359" priority="77"/>
    <cfRule type="duplicateValues" dxfId="358" priority="78"/>
  </conditionalFormatting>
  <conditionalFormatting sqref="D181:D218">
    <cfRule type="duplicateValues" dxfId="357" priority="79"/>
    <cfRule type="duplicateValues" dxfId="356" priority="80"/>
  </conditionalFormatting>
  <conditionalFormatting sqref="D228">
    <cfRule type="duplicateValues" dxfId="355" priority="53"/>
    <cfRule type="duplicateValues" dxfId="354" priority="54"/>
  </conditionalFormatting>
  <conditionalFormatting sqref="D236:D245">
    <cfRule type="duplicateValues" dxfId="353" priority="51"/>
    <cfRule type="duplicateValues" dxfId="352" priority="52"/>
  </conditionalFormatting>
  <conditionalFormatting sqref="D229:D232">
    <cfRule type="duplicateValues" dxfId="351" priority="49"/>
    <cfRule type="duplicateValues" dxfId="350" priority="50"/>
  </conditionalFormatting>
  <conditionalFormatting sqref="D233:D235">
    <cfRule type="duplicateValues" dxfId="349" priority="47"/>
    <cfRule type="duplicateValues" dxfId="348" priority="48"/>
  </conditionalFormatting>
  <conditionalFormatting sqref="D250:D256">
    <cfRule type="duplicateValues" dxfId="347" priority="45"/>
    <cfRule type="duplicateValues" dxfId="346" priority="46"/>
  </conditionalFormatting>
  <conditionalFormatting sqref="D262">
    <cfRule type="duplicateValues" dxfId="345" priority="43"/>
    <cfRule type="duplicateValues" dxfId="344" priority="44"/>
  </conditionalFormatting>
  <conditionalFormatting sqref="D246:D249">
    <cfRule type="duplicateValues" dxfId="343" priority="41"/>
    <cfRule type="duplicateValues" dxfId="342" priority="42"/>
  </conditionalFormatting>
  <conditionalFormatting sqref="D257:D261">
    <cfRule type="duplicateValues" dxfId="341" priority="55"/>
    <cfRule type="duplicateValues" dxfId="340" priority="56"/>
  </conditionalFormatting>
  <conditionalFormatting sqref="D226:D227">
    <cfRule type="duplicateValues" dxfId="339" priority="57"/>
    <cfRule type="duplicateValues" dxfId="338" priority="58"/>
  </conditionalFormatting>
  <conditionalFormatting sqref="D226:D263">
    <cfRule type="duplicateValues" dxfId="337" priority="59"/>
    <cfRule type="duplicateValues" dxfId="336" priority="60"/>
  </conditionalFormatting>
  <conditionalFormatting sqref="D273">
    <cfRule type="duplicateValues" dxfId="335" priority="33"/>
    <cfRule type="duplicateValues" dxfId="334" priority="34"/>
  </conditionalFormatting>
  <conditionalFormatting sqref="D281:D290">
    <cfRule type="duplicateValues" dxfId="333" priority="31"/>
    <cfRule type="duplicateValues" dxfId="332" priority="32"/>
  </conditionalFormatting>
  <conditionalFormatting sqref="D274:D277">
    <cfRule type="duplicateValues" dxfId="331" priority="29"/>
    <cfRule type="duplicateValues" dxfId="330" priority="30"/>
  </conditionalFormatting>
  <conditionalFormatting sqref="D278:D280">
    <cfRule type="duplicateValues" dxfId="329" priority="27"/>
    <cfRule type="duplicateValues" dxfId="328" priority="28"/>
  </conditionalFormatting>
  <conditionalFormatting sqref="D295:D301">
    <cfRule type="duplicateValues" dxfId="327" priority="25"/>
    <cfRule type="duplicateValues" dxfId="326" priority="26"/>
  </conditionalFormatting>
  <conditionalFormatting sqref="D307">
    <cfRule type="duplicateValues" dxfId="325" priority="23"/>
    <cfRule type="duplicateValues" dxfId="324" priority="24"/>
  </conditionalFormatting>
  <conditionalFormatting sqref="D291:D294">
    <cfRule type="duplicateValues" dxfId="323" priority="21"/>
    <cfRule type="duplicateValues" dxfId="322" priority="22"/>
  </conditionalFormatting>
  <conditionalFormatting sqref="D302:D306">
    <cfRule type="duplicateValues" dxfId="321" priority="35"/>
    <cfRule type="duplicateValues" dxfId="320" priority="36"/>
  </conditionalFormatting>
  <conditionalFormatting sqref="D271:D272">
    <cfRule type="duplicateValues" dxfId="319" priority="37"/>
    <cfRule type="duplicateValues" dxfId="318" priority="38"/>
  </conditionalFormatting>
  <conditionalFormatting sqref="D271:D308">
    <cfRule type="duplicateValues" dxfId="317" priority="39"/>
    <cfRule type="duplicateValues" dxfId="316" priority="40"/>
  </conditionalFormatting>
  <conditionalFormatting sqref="D317">
    <cfRule type="duplicateValues" dxfId="315" priority="13"/>
    <cfRule type="duplicateValues" dxfId="314" priority="14"/>
  </conditionalFormatting>
  <conditionalFormatting sqref="D325:D334">
    <cfRule type="duplicateValues" dxfId="313" priority="11"/>
    <cfRule type="duplicateValues" dxfId="312" priority="12"/>
  </conditionalFormatting>
  <conditionalFormatting sqref="D318:D321">
    <cfRule type="duplicateValues" dxfId="311" priority="9"/>
    <cfRule type="duplicateValues" dxfId="310" priority="10"/>
  </conditionalFormatting>
  <conditionalFormatting sqref="D322:D324">
    <cfRule type="duplicateValues" dxfId="309" priority="7"/>
    <cfRule type="duplicateValues" dxfId="308" priority="8"/>
  </conditionalFormatting>
  <conditionalFormatting sqref="D339:D345">
    <cfRule type="duplicateValues" dxfId="307" priority="5"/>
    <cfRule type="duplicateValues" dxfId="306" priority="6"/>
  </conditionalFormatting>
  <conditionalFormatting sqref="D351">
    <cfRule type="duplicateValues" dxfId="305" priority="3"/>
    <cfRule type="duplicateValues" dxfId="304" priority="4"/>
  </conditionalFormatting>
  <conditionalFormatting sqref="D335:D338">
    <cfRule type="duplicateValues" dxfId="303" priority="1"/>
    <cfRule type="duplicateValues" dxfId="302" priority="2"/>
  </conditionalFormatting>
  <conditionalFormatting sqref="D346:D350">
    <cfRule type="duplicateValues" dxfId="301" priority="15"/>
    <cfRule type="duplicateValues" dxfId="300" priority="16"/>
  </conditionalFormatting>
  <conditionalFormatting sqref="D315:D316">
    <cfRule type="duplicateValues" dxfId="299" priority="17"/>
    <cfRule type="duplicateValues" dxfId="298" priority="18"/>
  </conditionalFormatting>
  <conditionalFormatting sqref="D315:D352">
    <cfRule type="duplicateValues" dxfId="297" priority="19"/>
    <cfRule type="duplicateValues" dxfId="296" priority="20"/>
  </conditionalFormatting>
  <pageMargins left="0.25" right="0.25" top="0.75" bottom="0.75" header="0.3" footer="0.3"/>
  <pageSetup paperSize="9" scale="70" fitToHeight="0" orientation="landscape" r:id="rId1"/>
  <rowBreaks count="6" manualBreakCount="6">
    <brk id="88" min="1" max="10" man="1"/>
    <brk id="132" min="1" max="10" man="1"/>
    <brk id="177" min="1" max="10" man="1"/>
    <brk id="221" min="1" max="10" man="1"/>
    <brk id="266" min="1" max="10" man="1"/>
    <brk id="311" min="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1"/>
  <sheetViews>
    <sheetView workbookViewId="0">
      <selection activeCell="G26" sqref="G26"/>
    </sheetView>
  </sheetViews>
  <sheetFormatPr defaultRowHeight="15"/>
  <cols>
    <col min="1" max="1" width="9.140625" style="353"/>
    <col min="2" max="2" width="15" style="353" customWidth="1"/>
    <col min="3" max="3" width="19" style="355" bestFit="1" customWidth="1"/>
    <col min="4" max="4" width="13.5703125" style="355" bestFit="1" customWidth="1"/>
    <col min="5" max="5" width="12" style="355" bestFit="1" customWidth="1"/>
    <col min="6" max="16384" width="9.140625" style="353"/>
  </cols>
  <sheetData>
    <row r="4" spans="2:5" ht="15.75">
      <c r="B4" s="421" t="s">
        <v>457</v>
      </c>
      <c r="C4" s="421"/>
      <c r="D4" s="421"/>
      <c r="E4" s="421"/>
    </row>
    <row r="5" spans="2:5" ht="15.75">
      <c r="B5" s="319" t="s">
        <v>458</v>
      </c>
      <c r="C5" s="291" t="s">
        <v>459</v>
      </c>
      <c r="D5" s="291" t="s">
        <v>460</v>
      </c>
      <c r="E5" s="291" t="s">
        <v>461</v>
      </c>
    </row>
    <row r="6" spans="2:5">
      <c r="B6" s="270" t="s">
        <v>462</v>
      </c>
      <c r="C6" s="354">
        <f>Sheet4!G87</f>
        <v>270200</v>
      </c>
      <c r="D6" s="354">
        <f>Sheet4!I87</f>
        <v>9600</v>
      </c>
      <c r="E6" s="354">
        <f>C6-D6</f>
        <v>260600</v>
      </c>
    </row>
    <row r="7" spans="2:5">
      <c r="B7" s="270" t="s">
        <v>463</v>
      </c>
      <c r="C7" s="354">
        <f>Sheet4!G130</f>
        <v>753040</v>
      </c>
      <c r="D7" s="354">
        <f>Sheet4!I130</f>
        <v>128280</v>
      </c>
      <c r="E7" s="354">
        <f t="shared" ref="E7:E10" si="0">C7-D7</f>
        <v>624760</v>
      </c>
    </row>
    <row r="8" spans="2:5">
      <c r="B8" s="270" t="s">
        <v>464</v>
      </c>
      <c r="C8" s="354">
        <f>Sheet4!G175</f>
        <v>318400</v>
      </c>
      <c r="D8" s="354">
        <f>Sheet4!I175</f>
        <v>110400</v>
      </c>
      <c r="E8" s="354">
        <f t="shared" si="0"/>
        <v>208000</v>
      </c>
    </row>
    <row r="9" spans="2:5">
      <c r="B9" s="270" t="s">
        <v>465</v>
      </c>
      <c r="C9" s="354">
        <f>Sheet4!G219</f>
        <v>318400</v>
      </c>
      <c r="D9" s="354">
        <f>Sheet4!I219</f>
        <v>130000</v>
      </c>
      <c r="E9" s="354">
        <f t="shared" si="0"/>
        <v>188400</v>
      </c>
    </row>
    <row r="10" spans="2:5">
      <c r="B10" s="270" t="s">
        <v>466</v>
      </c>
      <c r="C10" s="354">
        <f>Sheet4!G264</f>
        <v>318400</v>
      </c>
      <c r="D10" s="354">
        <f>Sheet4!I264</f>
        <v>130000</v>
      </c>
      <c r="E10" s="354">
        <f t="shared" si="0"/>
        <v>188400</v>
      </c>
    </row>
    <row r="11" spans="2:5" ht="15.75">
      <c r="B11" s="319" t="s">
        <v>467</v>
      </c>
      <c r="C11" s="291">
        <f>SUM(C6:C10)</f>
        <v>1978440</v>
      </c>
      <c r="D11" s="291">
        <f>SUM(D6:D10)</f>
        <v>508280</v>
      </c>
      <c r="E11" s="291">
        <f>SUM(E6:E10)</f>
        <v>1470160</v>
      </c>
    </row>
  </sheetData>
  <mergeCells count="1">
    <mergeCell ref="B4:E4"/>
  </mergeCells>
  <pageMargins left="0.7" right="0.7" top="0.75" bottom="0.75" header="0.3" footer="0.3"/>
  <pageSetup scale="1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5:X95"/>
  <sheetViews>
    <sheetView topLeftCell="A67" zoomScaleNormal="100" workbookViewId="0">
      <selection activeCell="P23" sqref="P23"/>
    </sheetView>
  </sheetViews>
  <sheetFormatPr defaultRowHeight="15"/>
  <cols>
    <col min="1" max="1" width="9.140625" style="330"/>
    <col min="2" max="2" width="7.5703125" style="330" bestFit="1" customWidth="1"/>
    <col min="3" max="3" width="20.28515625" style="330" bestFit="1" customWidth="1"/>
    <col min="4" max="4" width="11.28515625" style="330" bestFit="1" customWidth="1"/>
    <col min="5" max="5" width="33" style="330" bestFit="1" customWidth="1"/>
    <col min="6" max="6" width="8.140625" style="330" bestFit="1" customWidth="1"/>
    <col min="7" max="7" width="14.140625" style="331" bestFit="1" customWidth="1"/>
    <col min="8" max="8" width="14.140625" style="331" customWidth="1"/>
    <col min="9" max="9" width="14.140625" style="331" bestFit="1" customWidth="1"/>
    <col min="10" max="10" width="14.140625" style="331" customWidth="1"/>
    <col min="11" max="11" width="13.5703125" style="331" customWidth="1"/>
    <col min="12" max="12" width="16" style="331" customWidth="1"/>
    <col min="13" max="13" width="14.28515625" style="331" bestFit="1" customWidth="1"/>
    <col min="14" max="20" width="14.28515625" style="331" customWidth="1"/>
    <col min="21" max="21" width="14.5703125" style="331" bestFit="1" customWidth="1"/>
    <col min="22" max="22" width="36.5703125" style="330" bestFit="1" customWidth="1"/>
    <col min="23" max="23" width="47.7109375" style="330" customWidth="1"/>
    <col min="24" max="24" width="20" style="330" customWidth="1"/>
    <col min="25" max="16384" width="9.140625" style="330"/>
  </cols>
  <sheetData>
    <row r="5" spans="2:23" ht="30" customHeight="1">
      <c r="B5" s="412" t="s">
        <v>161</v>
      </c>
      <c r="C5" s="412" t="s">
        <v>0</v>
      </c>
      <c r="D5" s="412" t="s">
        <v>160</v>
      </c>
      <c r="E5" s="429" t="s">
        <v>46</v>
      </c>
      <c r="F5" s="412" t="s">
        <v>162</v>
      </c>
      <c r="G5" s="428" t="s">
        <v>164</v>
      </c>
      <c r="H5" s="428"/>
      <c r="I5" s="428" t="s">
        <v>163</v>
      </c>
      <c r="J5" s="428"/>
      <c r="K5" s="428" t="s">
        <v>216</v>
      </c>
      <c r="L5" s="428"/>
      <c r="M5" s="428" t="s">
        <v>220</v>
      </c>
      <c r="N5" s="428"/>
      <c r="O5" s="428" t="s">
        <v>221</v>
      </c>
      <c r="P5" s="428"/>
      <c r="Q5" s="312"/>
      <c r="R5" s="312"/>
      <c r="S5" s="312"/>
      <c r="T5" s="312"/>
    </row>
    <row r="6" spans="2:23" ht="30">
      <c r="B6" s="412"/>
      <c r="C6" s="412"/>
      <c r="D6" s="412"/>
      <c r="E6" s="429"/>
      <c r="F6" s="412"/>
      <c r="G6" s="323" t="s">
        <v>307</v>
      </c>
      <c r="H6" s="275" t="s">
        <v>308</v>
      </c>
      <c r="I6" s="323" t="s">
        <v>307</v>
      </c>
      <c r="J6" s="275" t="s">
        <v>308</v>
      </c>
      <c r="K6" s="323" t="s">
        <v>307</v>
      </c>
      <c r="L6" s="275" t="s">
        <v>308</v>
      </c>
      <c r="M6" s="323" t="s">
        <v>307</v>
      </c>
      <c r="N6" s="275" t="s">
        <v>308</v>
      </c>
      <c r="O6" s="323" t="s">
        <v>307</v>
      </c>
      <c r="P6" s="275" t="s">
        <v>308</v>
      </c>
      <c r="Q6" s="275"/>
      <c r="R6" s="275"/>
      <c r="S6" s="275"/>
      <c r="T6" s="275"/>
      <c r="U6" s="278" t="s">
        <v>65</v>
      </c>
      <c r="V6" s="269" t="s">
        <v>211</v>
      </c>
      <c r="W6" s="270" t="s">
        <v>74</v>
      </c>
    </row>
    <row r="7" spans="2:23">
      <c r="B7" s="413">
        <v>1</v>
      </c>
      <c r="C7" s="413" t="s">
        <v>7</v>
      </c>
      <c r="D7" s="317" t="s">
        <v>115</v>
      </c>
      <c r="E7" s="318" t="s">
        <v>14</v>
      </c>
      <c r="F7" s="271">
        <v>96</v>
      </c>
      <c r="G7" s="276">
        <v>33394909</v>
      </c>
      <c r="H7" s="276"/>
      <c r="I7" s="276">
        <v>33394910</v>
      </c>
      <c r="J7" s="276"/>
      <c r="K7" s="276" t="s">
        <v>311</v>
      </c>
      <c r="L7" s="276" t="s">
        <v>311</v>
      </c>
      <c r="M7" s="276" t="s">
        <v>311</v>
      </c>
      <c r="N7" s="276" t="s">
        <v>311</v>
      </c>
      <c r="O7" s="276" t="s">
        <v>311</v>
      </c>
      <c r="P7" s="276" t="s">
        <v>311</v>
      </c>
      <c r="Q7" s="276"/>
      <c r="R7" s="276"/>
      <c r="S7" s="276"/>
      <c r="T7" s="276"/>
      <c r="U7" s="276"/>
      <c r="V7" s="332" t="s">
        <v>165</v>
      </c>
      <c r="W7" s="270" t="s">
        <v>219</v>
      </c>
    </row>
    <row r="8" spans="2:23">
      <c r="B8" s="413"/>
      <c r="C8" s="413"/>
      <c r="D8" s="317" t="s">
        <v>116</v>
      </c>
      <c r="E8" s="318" t="s">
        <v>15</v>
      </c>
      <c r="F8" s="271">
        <v>96</v>
      </c>
      <c r="G8" s="276">
        <v>33394911</v>
      </c>
      <c r="H8" s="276"/>
      <c r="I8" s="276">
        <v>33394912</v>
      </c>
      <c r="J8" s="276"/>
      <c r="K8" s="276" t="s">
        <v>311</v>
      </c>
      <c r="L8" s="276" t="s">
        <v>311</v>
      </c>
      <c r="M8" s="276" t="s">
        <v>311</v>
      </c>
      <c r="N8" s="276" t="s">
        <v>311</v>
      </c>
      <c r="O8" s="276" t="s">
        <v>311</v>
      </c>
      <c r="P8" s="276" t="s">
        <v>311</v>
      </c>
      <c r="Q8" s="276"/>
      <c r="R8" s="276"/>
      <c r="S8" s="276"/>
      <c r="T8" s="276"/>
      <c r="U8" s="276"/>
      <c r="V8" s="332" t="s">
        <v>165</v>
      </c>
      <c r="W8" s="270" t="s">
        <v>219</v>
      </c>
    </row>
    <row r="9" spans="2:23" ht="15.75">
      <c r="B9" s="317">
        <v>2</v>
      </c>
      <c r="C9" s="317" t="s">
        <v>8</v>
      </c>
      <c r="D9" s="317" t="s">
        <v>112</v>
      </c>
      <c r="E9" s="317" t="s">
        <v>16</v>
      </c>
      <c r="F9" s="271">
        <v>96</v>
      </c>
      <c r="G9" s="276" t="s">
        <v>311</v>
      </c>
      <c r="H9" s="276" t="s">
        <v>311</v>
      </c>
      <c r="I9" s="276">
        <v>33394908</v>
      </c>
      <c r="J9" s="281">
        <v>46208</v>
      </c>
      <c r="K9" s="276">
        <v>33649747</v>
      </c>
      <c r="L9" s="276" t="s">
        <v>316</v>
      </c>
      <c r="M9" s="324">
        <v>33394946</v>
      </c>
      <c r="N9" s="281" t="s">
        <v>453</v>
      </c>
      <c r="O9" s="319">
        <v>33394947</v>
      </c>
      <c r="P9" s="281" t="s">
        <v>453</v>
      </c>
      <c r="Q9" s="276"/>
      <c r="R9" s="276"/>
      <c r="S9" s="276"/>
      <c r="T9" s="276"/>
      <c r="U9" s="276"/>
      <c r="V9" s="332" t="s">
        <v>166</v>
      </c>
      <c r="W9" s="141"/>
    </row>
    <row r="10" spans="2:23">
      <c r="B10" s="413">
        <v>3</v>
      </c>
      <c r="C10" s="413" t="s">
        <v>5</v>
      </c>
      <c r="D10" s="317" t="s">
        <v>102</v>
      </c>
      <c r="E10" s="317" t="s">
        <v>23</v>
      </c>
      <c r="F10" s="271">
        <v>96</v>
      </c>
      <c r="G10" s="276" t="s">
        <v>311</v>
      </c>
      <c r="H10" s="276" t="s">
        <v>311</v>
      </c>
      <c r="I10" s="276">
        <v>33394913</v>
      </c>
      <c r="J10" s="276" t="s">
        <v>310</v>
      </c>
      <c r="K10" s="281" t="s">
        <v>311</v>
      </c>
      <c r="L10" s="276" t="s">
        <v>311</v>
      </c>
      <c r="M10" s="276" t="s">
        <v>311</v>
      </c>
      <c r="N10" s="276" t="s">
        <v>311</v>
      </c>
      <c r="O10" s="333" t="s">
        <v>311</v>
      </c>
      <c r="P10" s="276" t="s">
        <v>311</v>
      </c>
      <c r="Q10" s="276"/>
      <c r="R10" s="276"/>
      <c r="S10" s="276"/>
      <c r="T10" s="276"/>
      <c r="U10" s="276"/>
      <c r="V10" s="332" t="s">
        <v>166</v>
      </c>
      <c r="W10" s="141"/>
    </row>
    <row r="11" spans="2:23">
      <c r="B11" s="413"/>
      <c r="C11" s="413"/>
      <c r="D11" s="317" t="s">
        <v>117</v>
      </c>
      <c r="E11" s="317" t="s">
        <v>158</v>
      </c>
      <c r="F11" s="271">
        <v>98</v>
      </c>
      <c r="G11" s="276" t="s">
        <v>311</v>
      </c>
      <c r="H11" s="276" t="s">
        <v>311</v>
      </c>
      <c r="I11" s="276">
        <v>33649726</v>
      </c>
      <c r="K11" s="276" t="s">
        <v>311</v>
      </c>
      <c r="L11" s="276" t="s">
        <v>311</v>
      </c>
      <c r="M11" s="276" t="s">
        <v>311</v>
      </c>
      <c r="N11" s="276" t="s">
        <v>311</v>
      </c>
      <c r="O11" s="333" t="s">
        <v>311</v>
      </c>
      <c r="P11" s="276" t="s">
        <v>311</v>
      </c>
      <c r="Q11" s="276"/>
      <c r="R11" s="276"/>
      <c r="S11" s="276"/>
      <c r="T11" s="276"/>
      <c r="U11" s="276"/>
      <c r="V11" s="332" t="s">
        <v>166</v>
      </c>
      <c r="W11" s="332"/>
    </row>
    <row r="12" spans="2:23">
      <c r="B12" s="413"/>
      <c r="C12" s="413"/>
      <c r="D12" s="317" t="s">
        <v>118</v>
      </c>
      <c r="E12" s="317" t="s">
        <v>158</v>
      </c>
      <c r="F12" s="271">
        <v>99</v>
      </c>
      <c r="G12" s="276" t="s">
        <v>311</v>
      </c>
      <c r="H12" s="276" t="s">
        <v>311</v>
      </c>
      <c r="I12" s="276">
        <v>33649727</v>
      </c>
      <c r="J12" s="276"/>
      <c r="K12" s="276" t="s">
        <v>311</v>
      </c>
      <c r="L12" s="276" t="s">
        <v>311</v>
      </c>
      <c r="M12" s="276" t="s">
        <v>311</v>
      </c>
      <c r="N12" s="276" t="s">
        <v>311</v>
      </c>
      <c r="O12" s="333" t="s">
        <v>311</v>
      </c>
      <c r="P12" s="276" t="s">
        <v>311</v>
      </c>
      <c r="Q12" s="276"/>
      <c r="R12" s="276"/>
      <c r="S12" s="276"/>
      <c r="T12" s="276"/>
      <c r="U12" s="276"/>
      <c r="V12" s="332" t="s">
        <v>166</v>
      </c>
      <c r="W12" s="332"/>
    </row>
    <row r="13" spans="2:23">
      <c r="B13" s="413"/>
      <c r="C13" s="413"/>
      <c r="D13" s="317" t="s">
        <v>119</v>
      </c>
      <c r="E13" s="317" t="s">
        <v>158</v>
      </c>
      <c r="F13" s="271">
        <v>147</v>
      </c>
      <c r="G13" s="276" t="s">
        <v>311</v>
      </c>
      <c r="H13" s="276" t="s">
        <v>311</v>
      </c>
      <c r="I13" s="276">
        <v>33649728</v>
      </c>
      <c r="J13" s="276"/>
      <c r="K13" s="276" t="s">
        <v>311</v>
      </c>
      <c r="L13" s="276" t="s">
        <v>311</v>
      </c>
      <c r="M13" s="276" t="s">
        <v>311</v>
      </c>
      <c r="N13" s="276" t="s">
        <v>311</v>
      </c>
      <c r="O13" s="333" t="s">
        <v>311</v>
      </c>
      <c r="P13" s="276" t="s">
        <v>311</v>
      </c>
      <c r="Q13" s="276"/>
      <c r="R13" s="276"/>
      <c r="S13" s="276"/>
      <c r="T13" s="276"/>
      <c r="U13" s="276"/>
      <c r="V13" s="332" t="s">
        <v>166</v>
      </c>
      <c r="W13" s="332"/>
    </row>
    <row r="14" spans="2:23">
      <c r="B14" s="413"/>
      <c r="C14" s="413"/>
      <c r="D14" s="317" t="s">
        <v>120</v>
      </c>
      <c r="E14" s="317" t="s">
        <v>158</v>
      </c>
      <c r="F14" s="271">
        <v>147</v>
      </c>
      <c r="G14" s="276" t="s">
        <v>311</v>
      </c>
      <c r="H14" s="276" t="s">
        <v>311</v>
      </c>
      <c r="I14" s="276">
        <v>33649729</v>
      </c>
      <c r="J14" s="276"/>
      <c r="K14" s="276" t="s">
        <v>311</v>
      </c>
      <c r="L14" s="276" t="s">
        <v>311</v>
      </c>
      <c r="M14" s="276" t="s">
        <v>311</v>
      </c>
      <c r="N14" s="276" t="s">
        <v>311</v>
      </c>
      <c r="O14" s="333" t="s">
        <v>311</v>
      </c>
      <c r="P14" s="276" t="s">
        <v>311</v>
      </c>
      <c r="Q14" s="276"/>
      <c r="R14" s="276"/>
      <c r="S14" s="276"/>
      <c r="T14" s="276"/>
      <c r="U14" s="276"/>
      <c r="V14" s="332" t="s">
        <v>166</v>
      </c>
      <c r="W14" s="332"/>
    </row>
    <row r="15" spans="2:23">
      <c r="B15" s="413"/>
      <c r="C15" s="413"/>
      <c r="D15" s="317" t="s">
        <v>121</v>
      </c>
      <c r="E15" s="317" t="s">
        <v>13</v>
      </c>
      <c r="F15" s="271">
        <v>99</v>
      </c>
      <c r="G15" s="276" t="s">
        <v>311</v>
      </c>
      <c r="H15" s="276" t="s">
        <v>311</v>
      </c>
      <c r="I15" s="276">
        <v>33649730</v>
      </c>
      <c r="J15" s="276"/>
      <c r="K15" s="276" t="s">
        <v>311</v>
      </c>
      <c r="L15" s="276" t="s">
        <v>311</v>
      </c>
      <c r="M15" s="276" t="s">
        <v>311</v>
      </c>
      <c r="N15" s="276" t="s">
        <v>311</v>
      </c>
      <c r="O15" s="333" t="s">
        <v>311</v>
      </c>
      <c r="P15" s="276" t="s">
        <v>311</v>
      </c>
      <c r="Q15" s="276"/>
      <c r="R15" s="276"/>
      <c r="S15" s="276"/>
      <c r="T15" s="276"/>
      <c r="U15" s="276"/>
      <c r="V15" s="332" t="s">
        <v>166</v>
      </c>
      <c r="W15" s="332"/>
    </row>
    <row r="16" spans="2:23">
      <c r="B16" s="413"/>
      <c r="C16" s="413"/>
      <c r="D16" s="317" t="s">
        <v>122</v>
      </c>
      <c r="E16" s="317" t="s">
        <v>158</v>
      </c>
      <c r="F16" s="271">
        <v>192</v>
      </c>
      <c r="G16" s="276" t="s">
        <v>311</v>
      </c>
      <c r="H16" s="276" t="s">
        <v>311</v>
      </c>
      <c r="I16" s="276">
        <v>33649731</v>
      </c>
      <c r="J16" s="276"/>
      <c r="K16" s="276" t="s">
        <v>311</v>
      </c>
      <c r="L16" s="276" t="s">
        <v>311</v>
      </c>
      <c r="M16" s="276" t="s">
        <v>311</v>
      </c>
      <c r="N16" s="276" t="s">
        <v>311</v>
      </c>
      <c r="O16" s="333" t="s">
        <v>311</v>
      </c>
      <c r="P16" s="276" t="s">
        <v>311</v>
      </c>
      <c r="Q16" s="276"/>
      <c r="R16" s="276"/>
      <c r="S16" s="276"/>
      <c r="T16" s="276"/>
      <c r="U16" s="276"/>
      <c r="V16" s="332" t="s">
        <v>166</v>
      </c>
      <c r="W16" s="332"/>
    </row>
    <row r="17" spans="2:24">
      <c r="B17" s="413">
        <v>4</v>
      </c>
      <c r="C17" s="413" t="s">
        <v>4</v>
      </c>
      <c r="D17" s="317" t="s">
        <v>145</v>
      </c>
      <c r="E17" s="317" t="s">
        <v>13</v>
      </c>
      <c r="F17" s="271">
        <v>144</v>
      </c>
      <c r="G17" s="276">
        <v>33649732</v>
      </c>
      <c r="H17" s="276"/>
      <c r="I17" s="276">
        <v>33649733</v>
      </c>
      <c r="J17" s="276"/>
      <c r="K17" s="276" t="s">
        <v>311</v>
      </c>
      <c r="L17" s="276" t="s">
        <v>311</v>
      </c>
      <c r="M17" s="276" t="s">
        <v>311</v>
      </c>
      <c r="N17" s="276" t="s">
        <v>311</v>
      </c>
      <c r="O17" s="333" t="s">
        <v>311</v>
      </c>
      <c r="P17" s="276" t="s">
        <v>311</v>
      </c>
      <c r="Q17" s="276"/>
      <c r="R17" s="276"/>
      <c r="S17" s="276"/>
      <c r="T17" s="276"/>
      <c r="U17" s="276"/>
      <c r="V17" s="332" t="s">
        <v>165</v>
      </c>
      <c r="W17" s="270"/>
    </row>
    <row r="18" spans="2:24" ht="15.75">
      <c r="B18" s="413"/>
      <c r="C18" s="413"/>
      <c r="D18" s="317" t="s">
        <v>146</v>
      </c>
      <c r="E18" s="318" t="s">
        <v>17</v>
      </c>
      <c r="F18" s="271">
        <v>96</v>
      </c>
      <c r="G18" s="276">
        <v>33394914</v>
      </c>
      <c r="H18" s="276"/>
      <c r="I18" s="276">
        <v>33394915</v>
      </c>
      <c r="J18" s="276"/>
      <c r="K18" s="276">
        <v>33649748</v>
      </c>
      <c r="L18" s="276"/>
      <c r="M18" s="319">
        <v>33649770</v>
      </c>
      <c r="N18" s="276"/>
      <c r="O18" s="319">
        <v>33649785</v>
      </c>
      <c r="P18" s="276"/>
      <c r="Q18" s="276"/>
      <c r="R18" s="276"/>
      <c r="S18" s="276"/>
      <c r="T18" s="276"/>
      <c r="U18" s="276"/>
      <c r="V18" s="332" t="s">
        <v>165</v>
      </c>
      <c r="W18" s="270"/>
    </row>
    <row r="19" spans="2:24" ht="15.75">
      <c r="B19" s="413"/>
      <c r="C19" s="413"/>
      <c r="D19" s="317" t="s">
        <v>147</v>
      </c>
      <c r="E19" s="318" t="s">
        <v>18</v>
      </c>
      <c r="F19" s="271">
        <v>96</v>
      </c>
      <c r="G19" s="276">
        <v>33394916</v>
      </c>
      <c r="H19" s="276"/>
      <c r="I19" s="276">
        <v>33394917</v>
      </c>
      <c r="J19" s="276"/>
      <c r="K19" s="276">
        <v>33649749</v>
      </c>
      <c r="L19" s="276"/>
      <c r="M19" s="319">
        <v>33649769</v>
      </c>
      <c r="N19" s="276"/>
      <c r="O19" s="319">
        <v>33649786</v>
      </c>
      <c r="P19" s="276"/>
      <c r="Q19" s="276"/>
      <c r="R19" s="276"/>
      <c r="S19" s="276"/>
      <c r="T19" s="276"/>
      <c r="U19" s="276"/>
      <c r="V19" s="332" t="s">
        <v>165</v>
      </c>
      <c r="W19" s="270"/>
    </row>
    <row r="20" spans="2:24" ht="15.75">
      <c r="B20" s="413"/>
      <c r="C20" s="413"/>
      <c r="D20" s="317" t="s">
        <v>148</v>
      </c>
      <c r="E20" s="318" t="s">
        <v>19</v>
      </c>
      <c r="F20" s="271">
        <v>96</v>
      </c>
      <c r="G20" s="276">
        <v>33394926</v>
      </c>
      <c r="H20" s="276"/>
      <c r="I20" s="276">
        <v>33394927</v>
      </c>
      <c r="J20" s="276"/>
      <c r="K20" s="276">
        <v>33649750</v>
      </c>
      <c r="L20" s="276"/>
      <c r="M20" s="319">
        <v>33649771</v>
      </c>
      <c r="N20" s="276"/>
      <c r="O20" s="319">
        <v>33649787</v>
      </c>
      <c r="P20" s="276"/>
      <c r="Q20" s="276"/>
      <c r="R20" s="276"/>
      <c r="S20" s="276"/>
      <c r="T20" s="276"/>
      <c r="U20" s="276"/>
      <c r="V20" s="332" t="s">
        <v>165</v>
      </c>
      <c r="W20" s="270"/>
    </row>
    <row r="21" spans="2:24" ht="15.75">
      <c r="B21" s="413"/>
      <c r="C21" s="413"/>
      <c r="D21" s="317" t="s">
        <v>149</v>
      </c>
      <c r="E21" s="318" t="s">
        <v>20</v>
      </c>
      <c r="F21" s="271">
        <v>118</v>
      </c>
      <c r="G21" s="276">
        <v>33394918</v>
      </c>
      <c r="H21" s="276"/>
      <c r="I21" s="276">
        <v>33394919</v>
      </c>
      <c r="J21" s="276"/>
      <c r="K21" s="276">
        <v>33649751</v>
      </c>
      <c r="L21" s="276"/>
      <c r="M21" s="319">
        <v>33649772</v>
      </c>
      <c r="N21" s="276"/>
      <c r="O21" s="319">
        <v>33649788</v>
      </c>
      <c r="P21" s="276"/>
      <c r="Q21" s="276"/>
      <c r="R21" s="276"/>
      <c r="S21" s="276"/>
      <c r="T21" s="276"/>
      <c r="U21" s="276"/>
      <c r="V21" s="332" t="s">
        <v>165</v>
      </c>
      <c r="W21" s="270"/>
    </row>
    <row r="22" spans="2:24" ht="15.75">
      <c r="B22" s="413"/>
      <c r="C22" s="413"/>
      <c r="D22" s="317" t="s">
        <v>150</v>
      </c>
      <c r="E22" s="318" t="s">
        <v>20</v>
      </c>
      <c r="F22" s="271">
        <v>118</v>
      </c>
      <c r="G22" s="276">
        <v>33394920</v>
      </c>
      <c r="H22" s="276"/>
      <c r="I22" s="276">
        <v>33394921</v>
      </c>
      <c r="J22" s="276"/>
      <c r="K22" s="276">
        <v>33649752</v>
      </c>
      <c r="L22" s="276"/>
      <c r="M22" s="319">
        <v>33649773</v>
      </c>
      <c r="N22" s="276"/>
      <c r="O22" s="319">
        <v>33649789</v>
      </c>
      <c r="P22" s="276"/>
      <c r="Q22" s="276"/>
      <c r="R22" s="276"/>
      <c r="S22" s="276"/>
      <c r="T22" s="276"/>
      <c r="U22" s="276"/>
      <c r="V22" s="332" t="s">
        <v>165</v>
      </c>
      <c r="W22" s="270"/>
    </row>
    <row r="23" spans="2:24" ht="15.75">
      <c r="B23" s="413"/>
      <c r="C23" s="413"/>
      <c r="D23" s="317" t="s">
        <v>151</v>
      </c>
      <c r="E23" s="317" t="s">
        <v>21</v>
      </c>
      <c r="F23" s="271">
        <v>96</v>
      </c>
      <c r="G23" s="276">
        <v>33394923</v>
      </c>
      <c r="H23" s="276" t="s">
        <v>310</v>
      </c>
      <c r="I23" s="276" t="s">
        <v>318</v>
      </c>
      <c r="J23" s="276" t="s">
        <v>310</v>
      </c>
      <c r="K23" s="276">
        <v>33649753</v>
      </c>
      <c r="L23" s="276" t="s">
        <v>314</v>
      </c>
      <c r="M23" s="319">
        <v>33649774</v>
      </c>
      <c r="N23" s="281" t="s">
        <v>452</v>
      </c>
      <c r="O23" s="319">
        <v>33649790</v>
      </c>
      <c r="P23" s="276" t="s">
        <v>452</v>
      </c>
      <c r="Q23" s="276"/>
      <c r="R23" s="276"/>
      <c r="S23" s="276"/>
      <c r="T23" s="276"/>
      <c r="U23" s="276"/>
      <c r="V23" s="332" t="s">
        <v>165</v>
      </c>
      <c r="W23" s="141"/>
    </row>
    <row r="24" spans="2:24">
      <c r="B24" s="413"/>
      <c r="C24" s="413"/>
      <c r="D24" s="317" t="s">
        <v>152</v>
      </c>
      <c r="E24" s="317" t="s">
        <v>12</v>
      </c>
      <c r="F24" s="271">
        <v>96</v>
      </c>
      <c r="G24" s="276">
        <v>33649734</v>
      </c>
      <c r="H24" s="276"/>
      <c r="I24" s="276">
        <v>33649735</v>
      </c>
      <c r="J24" s="276"/>
      <c r="K24" s="276" t="s">
        <v>311</v>
      </c>
      <c r="L24" s="276" t="s">
        <v>311</v>
      </c>
      <c r="M24" s="331" t="s">
        <v>311</v>
      </c>
      <c r="N24" s="276" t="s">
        <v>311</v>
      </c>
      <c r="O24" s="331" t="s">
        <v>311</v>
      </c>
      <c r="P24" s="276" t="s">
        <v>311</v>
      </c>
      <c r="Q24" s="276"/>
      <c r="R24" s="276"/>
      <c r="S24" s="276"/>
      <c r="T24" s="276"/>
      <c r="U24" s="276"/>
      <c r="V24" s="332" t="s">
        <v>165</v>
      </c>
      <c r="W24" s="270"/>
    </row>
    <row r="25" spans="2:24" ht="15.75">
      <c r="B25" s="413"/>
      <c r="C25" s="413"/>
      <c r="D25" s="317" t="s">
        <v>153</v>
      </c>
      <c r="E25" s="318" t="s">
        <v>22</v>
      </c>
      <c r="F25" s="271">
        <v>96</v>
      </c>
      <c r="G25" s="276">
        <v>33394924</v>
      </c>
      <c r="H25" s="276"/>
      <c r="I25" s="276">
        <v>33394925</v>
      </c>
      <c r="J25" s="276" t="s">
        <v>506</v>
      </c>
      <c r="K25" s="276">
        <v>33649754</v>
      </c>
      <c r="L25" s="276"/>
      <c r="M25" s="319">
        <v>33649775</v>
      </c>
      <c r="N25" s="276"/>
      <c r="O25" s="319">
        <v>33649791</v>
      </c>
      <c r="P25" s="276"/>
      <c r="Q25" s="276"/>
      <c r="R25" s="276"/>
      <c r="S25" s="276"/>
      <c r="T25" s="276"/>
      <c r="U25" s="276"/>
      <c r="V25" s="332" t="s">
        <v>165</v>
      </c>
      <c r="W25" s="270"/>
    </row>
    <row r="26" spans="2:24">
      <c r="B26" s="413"/>
      <c r="C26" s="413"/>
      <c r="D26" s="317" t="s">
        <v>154</v>
      </c>
      <c r="E26" s="317" t="s">
        <v>13</v>
      </c>
      <c r="F26" s="271">
        <v>144</v>
      </c>
      <c r="G26" s="276">
        <v>33649736</v>
      </c>
      <c r="H26" s="276"/>
      <c r="I26" s="276">
        <v>33649737</v>
      </c>
      <c r="J26" s="276"/>
      <c r="K26" s="276" t="s">
        <v>311</v>
      </c>
      <c r="L26" s="276" t="s">
        <v>311</v>
      </c>
      <c r="M26" s="331" t="s">
        <v>311</v>
      </c>
      <c r="N26" s="276" t="s">
        <v>311</v>
      </c>
      <c r="O26" s="331" t="s">
        <v>311</v>
      </c>
      <c r="P26" s="276" t="s">
        <v>311</v>
      </c>
      <c r="Q26" s="276"/>
      <c r="R26" s="276"/>
      <c r="S26" s="276"/>
      <c r="T26" s="276"/>
      <c r="U26" s="276"/>
      <c r="V26" s="332" t="s">
        <v>165</v>
      </c>
      <c r="W26" s="270"/>
    </row>
    <row r="27" spans="2:24" ht="15.75">
      <c r="B27" s="413">
        <v>5</v>
      </c>
      <c r="C27" s="413" t="s">
        <v>34</v>
      </c>
      <c r="D27" s="317" t="s">
        <v>126</v>
      </c>
      <c r="E27" s="318" t="s">
        <v>35</v>
      </c>
      <c r="F27" s="271">
        <v>96</v>
      </c>
      <c r="G27" s="276">
        <v>33394928</v>
      </c>
      <c r="H27" s="276"/>
      <c r="I27" s="276">
        <v>33394929</v>
      </c>
      <c r="J27" s="276"/>
      <c r="K27" s="276">
        <v>33649763</v>
      </c>
      <c r="L27" s="276"/>
      <c r="M27" s="319">
        <v>33649783</v>
      </c>
      <c r="N27" s="276"/>
      <c r="O27" s="319">
        <v>33649798</v>
      </c>
      <c r="P27" s="276"/>
      <c r="Q27" s="276"/>
      <c r="R27" s="276"/>
      <c r="S27" s="276"/>
      <c r="T27" s="276"/>
      <c r="U27" s="276"/>
      <c r="V27" s="332" t="s">
        <v>232</v>
      </c>
      <c r="W27" s="270"/>
    </row>
    <row r="28" spans="2:24" ht="15.75">
      <c r="B28" s="413"/>
      <c r="C28" s="413"/>
      <c r="D28" s="317" t="s">
        <v>127</v>
      </c>
      <c r="E28" s="318" t="s">
        <v>36</v>
      </c>
      <c r="F28" s="271">
        <v>96</v>
      </c>
      <c r="G28" s="276">
        <v>33394930</v>
      </c>
      <c r="H28" s="276"/>
      <c r="I28" s="276">
        <v>33394931</v>
      </c>
      <c r="J28" s="276"/>
      <c r="K28" s="276">
        <v>33649764</v>
      </c>
      <c r="L28" s="276"/>
      <c r="M28" s="319">
        <v>33649784</v>
      </c>
      <c r="N28" s="276"/>
      <c r="O28" s="319">
        <v>33649799</v>
      </c>
      <c r="P28" s="276"/>
      <c r="Q28" s="276"/>
      <c r="R28" s="276"/>
      <c r="S28" s="276"/>
      <c r="T28" s="276"/>
      <c r="U28" s="276"/>
      <c r="V28" s="332" t="s">
        <v>232</v>
      </c>
      <c r="W28" s="270"/>
    </row>
    <row r="29" spans="2:24">
      <c r="B29" s="413"/>
      <c r="C29" s="413"/>
      <c r="D29" s="317" t="s">
        <v>128</v>
      </c>
      <c r="E29" s="317" t="s">
        <v>12</v>
      </c>
      <c r="F29" s="271">
        <v>99</v>
      </c>
      <c r="G29" s="276">
        <v>33649738</v>
      </c>
      <c r="H29" s="276"/>
      <c r="I29" s="276">
        <v>33649739</v>
      </c>
      <c r="J29" s="276"/>
      <c r="K29" s="276" t="s">
        <v>311</v>
      </c>
      <c r="L29" s="276" t="s">
        <v>311</v>
      </c>
      <c r="M29" s="276" t="s">
        <v>311</v>
      </c>
      <c r="N29" s="276" t="s">
        <v>311</v>
      </c>
      <c r="O29" s="276" t="s">
        <v>311</v>
      </c>
      <c r="P29" s="276" t="s">
        <v>311</v>
      </c>
      <c r="Q29" s="276"/>
      <c r="R29" s="276"/>
      <c r="S29" s="276"/>
      <c r="T29" s="276"/>
      <c r="U29" s="276"/>
      <c r="V29" s="332" t="s">
        <v>232</v>
      </c>
      <c r="W29" s="270"/>
    </row>
    <row r="30" spans="2:24">
      <c r="B30" s="413"/>
      <c r="C30" s="413"/>
      <c r="D30" s="317" t="s">
        <v>129</v>
      </c>
      <c r="E30" s="317" t="s">
        <v>12</v>
      </c>
      <c r="F30" s="271">
        <v>147</v>
      </c>
      <c r="G30" s="276">
        <v>33649740</v>
      </c>
      <c r="H30" s="276"/>
      <c r="I30" s="276">
        <v>33649741</v>
      </c>
      <c r="J30" s="276"/>
      <c r="K30" s="276" t="s">
        <v>311</v>
      </c>
      <c r="L30" s="276" t="s">
        <v>311</v>
      </c>
      <c r="M30" s="276" t="s">
        <v>311</v>
      </c>
      <c r="N30" s="276" t="s">
        <v>311</v>
      </c>
      <c r="O30" s="276" t="s">
        <v>311</v>
      </c>
      <c r="P30" s="276" t="s">
        <v>311</v>
      </c>
      <c r="Q30" s="276"/>
      <c r="R30" s="276"/>
      <c r="S30" s="276"/>
      <c r="T30" s="276"/>
      <c r="U30" s="276"/>
      <c r="V30" s="332" t="s">
        <v>232</v>
      </c>
      <c r="W30" s="270"/>
    </row>
    <row r="31" spans="2:24">
      <c r="B31" s="413">
        <v>6</v>
      </c>
      <c r="C31" s="413" t="s">
        <v>53</v>
      </c>
      <c r="D31" s="317" t="s">
        <v>132</v>
      </c>
      <c r="E31" s="317" t="s">
        <v>158</v>
      </c>
      <c r="F31" s="271">
        <v>144</v>
      </c>
      <c r="G31" s="276" t="s">
        <v>311</v>
      </c>
      <c r="H31" s="276" t="s">
        <v>311</v>
      </c>
      <c r="I31" s="276">
        <v>33649742</v>
      </c>
      <c r="J31" s="276"/>
      <c r="K31" s="276" t="s">
        <v>311</v>
      </c>
      <c r="L31" s="276" t="s">
        <v>311</v>
      </c>
      <c r="M31" s="276" t="s">
        <v>311</v>
      </c>
      <c r="N31" s="276" t="s">
        <v>311</v>
      </c>
      <c r="O31" s="276" t="s">
        <v>311</v>
      </c>
      <c r="P31" s="276" t="s">
        <v>311</v>
      </c>
      <c r="Q31" s="276"/>
      <c r="R31" s="276"/>
      <c r="S31" s="276"/>
      <c r="T31" s="276"/>
      <c r="U31" s="276"/>
      <c r="V31" s="332" t="s">
        <v>231</v>
      </c>
      <c r="W31" s="270"/>
    </row>
    <row r="32" spans="2:24" ht="15.75">
      <c r="B32" s="413"/>
      <c r="C32" s="413"/>
      <c r="D32" s="317" t="s">
        <v>133</v>
      </c>
      <c r="E32" s="318" t="s">
        <v>26</v>
      </c>
      <c r="F32" s="271">
        <v>98</v>
      </c>
      <c r="G32" s="276" t="s">
        <v>311</v>
      </c>
      <c r="H32" s="276" t="s">
        <v>311</v>
      </c>
      <c r="I32" s="325">
        <v>33394932</v>
      </c>
      <c r="J32" s="276" t="s">
        <v>354</v>
      </c>
      <c r="K32" s="276">
        <v>33649755</v>
      </c>
      <c r="L32" s="276" t="s">
        <v>354</v>
      </c>
      <c r="M32" s="319">
        <v>33649776</v>
      </c>
      <c r="N32" s="276"/>
      <c r="O32" s="319">
        <v>33649792</v>
      </c>
      <c r="P32" s="276"/>
      <c r="Q32" s="276"/>
      <c r="R32" s="326"/>
      <c r="S32" s="276"/>
      <c r="T32" s="276"/>
      <c r="U32" s="276"/>
      <c r="V32" s="332" t="s">
        <v>166</v>
      </c>
      <c r="W32" s="270"/>
      <c r="X32" s="330">
        <v>3002386547</v>
      </c>
    </row>
    <row r="33" spans="2:23" ht="15.75">
      <c r="B33" s="413"/>
      <c r="C33" s="413"/>
      <c r="D33" s="317" t="s">
        <v>134</v>
      </c>
      <c r="E33" s="318" t="s">
        <v>27</v>
      </c>
      <c r="F33" s="271">
        <v>98</v>
      </c>
      <c r="G33" s="276" t="s">
        <v>311</v>
      </c>
      <c r="H33" s="276" t="s">
        <v>311</v>
      </c>
      <c r="I33" s="325">
        <v>33394933</v>
      </c>
      <c r="J33" s="276"/>
      <c r="K33" s="276">
        <v>33649756</v>
      </c>
      <c r="L33" s="276"/>
      <c r="M33" s="319">
        <v>33649777</v>
      </c>
      <c r="N33" s="276"/>
      <c r="O33" s="319">
        <v>33649793</v>
      </c>
      <c r="P33" s="276"/>
      <c r="Q33" s="276"/>
      <c r="R33" s="326"/>
      <c r="S33" s="276"/>
      <c r="T33" s="276"/>
      <c r="U33" s="276"/>
      <c r="V33" s="332" t="s">
        <v>166</v>
      </c>
      <c r="W33" s="270"/>
    </row>
    <row r="34" spans="2:23" ht="15.75">
      <c r="B34" s="413"/>
      <c r="C34" s="413"/>
      <c r="D34" s="317" t="s">
        <v>135</v>
      </c>
      <c r="E34" s="318" t="s">
        <v>28</v>
      </c>
      <c r="F34" s="271">
        <v>99</v>
      </c>
      <c r="G34" s="276" t="s">
        <v>311</v>
      </c>
      <c r="H34" s="276" t="s">
        <v>311</v>
      </c>
      <c r="I34" s="325">
        <v>33394934</v>
      </c>
      <c r="J34" s="276" t="s">
        <v>313</v>
      </c>
      <c r="K34" s="276">
        <v>33649757</v>
      </c>
      <c r="L34" s="281">
        <v>46271</v>
      </c>
      <c r="M34" s="319">
        <v>33649778</v>
      </c>
      <c r="N34" s="281">
        <v>46088</v>
      </c>
      <c r="O34" s="319">
        <v>33649794</v>
      </c>
      <c r="P34" s="281">
        <v>46088</v>
      </c>
      <c r="Q34" s="276"/>
      <c r="R34" s="326"/>
      <c r="S34" s="276"/>
      <c r="T34" s="276"/>
      <c r="U34" s="276"/>
      <c r="V34" s="332" t="s">
        <v>166</v>
      </c>
      <c r="W34" s="270"/>
    </row>
    <row r="35" spans="2:23" ht="15.75">
      <c r="B35" s="413"/>
      <c r="C35" s="413"/>
      <c r="D35" s="317" t="s">
        <v>136</v>
      </c>
      <c r="E35" s="318" t="s">
        <v>29</v>
      </c>
      <c r="F35" s="271">
        <v>96</v>
      </c>
      <c r="G35" s="276" t="s">
        <v>311</v>
      </c>
      <c r="H35" s="276" t="s">
        <v>311</v>
      </c>
      <c r="I35" s="325">
        <v>33649765</v>
      </c>
      <c r="J35" s="281">
        <v>46271</v>
      </c>
      <c r="K35" s="276">
        <v>33649758</v>
      </c>
      <c r="L35" s="281">
        <v>46271</v>
      </c>
      <c r="M35" s="319">
        <v>33649800</v>
      </c>
      <c r="N35" s="281">
        <v>46088</v>
      </c>
      <c r="O35" s="319">
        <v>33649801</v>
      </c>
      <c r="P35" s="281">
        <v>46088</v>
      </c>
      <c r="Q35" s="276"/>
      <c r="R35" s="326"/>
      <c r="S35" s="276"/>
      <c r="T35" s="276"/>
      <c r="U35" s="276"/>
      <c r="V35" s="332" t="s">
        <v>166</v>
      </c>
      <c r="W35" s="270"/>
    </row>
    <row r="36" spans="2:23" ht="15.75">
      <c r="B36" s="413"/>
      <c r="C36" s="413"/>
      <c r="D36" s="317" t="s">
        <v>137</v>
      </c>
      <c r="E36" s="317" t="s">
        <v>30</v>
      </c>
      <c r="F36" s="271">
        <v>96</v>
      </c>
      <c r="G36" s="276" t="s">
        <v>311</v>
      </c>
      <c r="H36" s="276" t="s">
        <v>311</v>
      </c>
      <c r="I36" s="325">
        <v>33394936</v>
      </c>
      <c r="J36" s="276" t="s">
        <v>309</v>
      </c>
      <c r="K36" s="276">
        <v>33649759</v>
      </c>
      <c r="L36" s="276" t="s">
        <v>313</v>
      </c>
      <c r="M36" s="319">
        <v>33649780</v>
      </c>
      <c r="N36" s="281">
        <v>46060</v>
      </c>
      <c r="O36" s="319">
        <v>33649795</v>
      </c>
      <c r="P36" s="281">
        <v>46060</v>
      </c>
      <c r="Q36" s="276"/>
      <c r="R36" s="326"/>
      <c r="S36" s="276"/>
      <c r="T36" s="276"/>
      <c r="U36" s="276"/>
      <c r="V36" s="332" t="s">
        <v>166</v>
      </c>
      <c r="W36" s="328"/>
    </row>
    <row r="37" spans="2:23" ht="15.75">
      <c r="B37" s="413"/>
      <c r="C37" s="413"/>
      <c r="D37" s="317" t="s">
        <v>138</v>
      </c>
      <c r="E37" s="318" t="s">
        <v>31</v>
      </c>
      <c r="F37" s="271">
        <v>147</v>
      </c>
      <c r="G37" s="276" t="s">
        <v>311</v>
      </c>
      <c r="H37" s="276" t="s">
        <v>311</v>
      </c>
      <c r="I37" s="325">
        <v>33394937</v>
      </c>
      <c r="J37" s="276"/>
      <c r="K37" s="276">
        <v>33649760</v>
      </c>
      <c r="L37" s="276"/>
      <c r="M37" s="319">
        <v>33649781</v>
      </c>
      <c r="N37" s="276"/>
      <c r="O37" s="319">
        <v>33649796</v>
      </c>
      <c r="P37" s="276"/>
      <c r="Q37" s="276"/>
      <c r="R37" s="326"/>
      <c r="S37" s="276"/>
      <c r="T37" s="276"/>
      <c r="U37" s="276"/>
      <c r="V37" s="332" t="s">
        <v>166</v>
      </c>
      <c r="W37" s="270"/>
    </row>
    <row r="38" spans="2:23">
      <c r="B38" s="413"/>
      <c r="C38" s="413"/>
      <c r="D38" s="317" t="s">
        <v>139</v>
      </c>
      <c r="E38" s="317" t="s">
        <v>158</v>
      </c>
      <c r="F38" s="271">
        <v>147</v>
      </c>
      <c r="G38" s="276" t="s">
        <v>311</v>
      </c>
      <c r="H38" s="276" t="s">
        <v>311</v>
      </c>
      <c r="I38" s="325">
        <v>33649743</v>
      </c>
      <c r="J38" s="276"/>
      <c r="K38" s="276" t="s">
        <v>311</v>
      </c>
      <c r="L38" s="276" t="s">
        <v>311</v>
      </c>
      <c r="M38" s="333" t="s">
        <v>311</v>
      </c>
      <c r="N38" s="276" t="s">
        <v>311</v>
      </c>
      <c r="O38" s="333" t="s">
        <v>311</v>
      </c>
      <c r="P38" s="276" t="s">
        <v>311</v>
      </c>
      <c r="Q38" s="276"/>
      <c r="R38" s="326"/>
      <c r="S38" s="276"/>
      <c r="T38" s="276"/>
      <c r="U38" s="276"/>
      <c r="V38" s="332" t="s">
        <v>166</v>
      </c>
      <c r="W38" s="270"/>
    </row>
    <row r="39" spans="2:23" ht="15.75">
      <c r="B39" s="413"/>
      <c r="C39" s="413"/>
      <c r="D39" s="317" t="s">
        <v>140</v>
      </c>
      <c r="E39" s="318" t="s">
        <v>32</v>
      </c>
      <c r="F39" s="271">
        <v>99</v>
      </c>
      <c r="G39" s="276" t="s">
        <v>311</v>
      </c>
      <c r="H39" s="276" t="s">
        <v>311</v>
      </c>
      <c r="I39" s="325">
        <v>33394938</v>
      </c>
      <c r="J39" s="276"/>
      <c r="K39" s="276">
        <v>33649761</v>
      </c>
      <c r="L39" s="276"/>
      <c r="M39" s="319">
        <v>33649782</v>
      </c>
      <c r="N39" s="276"/>
      <c r="O39" s="319">
        <v>33649797</v>
      </c>
      <c r="P39" s="276"/>
      <c r="Q39" s="276"/>
      <c r="R39" s="326"/>
      <c r="S39" s="276"/>
      <c r="T39" s="276"/>
      <c r="U39" s="276"/>
      <c r="V39" s="332" t="s">
        <v>166</v>
      </c>
      <c r="W39" s="270"/>
    </row>
    <row r="40" spans="2:23">
      <c r="B40" s="413"/>
      <c r="C40" s="413"/>
      <c r="D40" s="317" t="s">
        <v>141</v>
      </c>
      <c r="E40" s="317" t="s">
        <v>158</v>
      </c>
      <c r="F40" s="271">
        <v>192</v>
      </c>
      <c r="G40" s="276" t="s">
        <v>311</v>
      </c>
      <c r="H40" s="276" t="s">
        <v>311</v>
      </c>
      <c r="I40" s="325">
        <v>33649744</v>
      </c>
      <c r="J40" s="276"/>
      <c r="K40" s="276" t="s">
        <v>311</v>
      </c>
      <c r="L40" s="276" t="s">
        <v>311</v>
      </c>
      <c r="M40" s="333" t="s">
        <v>311</v>
      </c>
      <c r="N40" s="276" t="s">
        <v>311</v>
      </c>
      <c r="O40" s="333" t="s">
        <v>311</v>
      </c>
      <c r="P40" s="276" t="s">
        <v>311</v>
      </c>
      <c r="Q40" s="276"/>
      <c r="R40" s="326"/>
      <c r="S40" s="276"/>
      <c r="T40" s="276"/>
      <c r="U40" s="276"/>
      <c r="V40" s="332" t="s">
        <v>166</v>
      </c>
      <c r="W40" s="270"/>
    </row>
    <row r="41" spans="2:23">
      <c r="B41" s="413"/>
      <c r="C41" s="413"/>
      <c r="D41" s="317" t="s">
        <v>142</v>
      </c>
      <c r="E41" s="317" t="s">
        <v>13</v>
      </c>
      <c r="F41" s="271">
        <v>96</v>
      </c>
      <c r="G41" s="276" t="s">
        <v>311</v>
      </c>
      <c r="H41" s="276" t="s">
        <v>311</v>
      </c>
      <c r="I41" s="325">
        <v>33649745</v>
      </c>
      <c r="J41" s="276"/>
      <c r="K41" s="276" t="s">
        <v>311</v>
      </c>
      <c r="L41" s="276" t="s">
        <v>311</v>
      </c>
      <c r="M41" s="333" t="s">
        <v>311</v>
      </c>
      <c r="N41" s="276" t="s">
        <v>311</v>
      </c>
      <c r="O41" s="333" t="s">
        <v>311</v>
      </c>
      <c r="P41" s="276" t="s">
        <v>311</v>
      </c>
      <c r="Q41" s="276"/>
      <c r="R41" s="326"/>
      <c r="S41" s="276"/>
      <c r="T41" s="276"/>
      <c r="U41" s="276"/>
      <c r="V41" s="332" t="s">
        <v>166</v>
      </c>
      <c r="W41" s="270"/>
    </row>
    <row r="42" spans="2:23">
      <c r="B42" s="413"/>
      <c r="C42" s="413"/>
      <c r="D42" s="317" t="s">
        <v>143</v>
      </c>
      <c r="E42" s="317" t="s">
        <v>158</v>
      </c>
      <c r="F42" s="271">
        <v>96</v>
      </c>
      <c r="G42" s="276" t="s">
        <v>311</v>
      </c>
      <c r="H42" s="276" t="s">
        <v>311</v>
      </c>
      <c r="I42" s="325">
        <v>33649746</v>
      </c>
      <c r="J42" s="276"/>
      <c r="K42" s="276" t="s">
        <v>311</v>
      </c>
      <c r="L42" s="276" t="s">
        <v>311</v>
      </c>
      <c r="M42" s="276" t="s">
        <v>311</v>
      </c>
      <c r="N42" s="276" t="s">
        <v>311</v>
      </c>
      <c r="O42" s="276" t="s">
        <v>311</v>
      </c>
      <c r="P42" s="276" t="s">
        <v>311</v>
      </c>
      <c r="Q42" s="276"/>
      <c r="R42" s="326"/>
      <c r="S42" s="276"/>
      <c r="T42" s="276"/>
      <c r="U42" s="276"/>
      <c r="V42" s="332" t="s">
        <v>166</v>
      </c>
      <c r="W42" s="270"/>
    </row>
    <row r="43" spans="2:23">
      <c r="B43" s="317">
        <v>7</v>
      </c>
      <c r="C43" s="317" t="s">
        <v>55</v>
      </c>
      <c r="D43" s="317" t="s">
        <v>144</v>
      </c>
      <c r="E43" s="317" t="s">
        <v>33</v>
      </c>
      <c r="F43" s="271">
        <v>96</v>
      </c>
      <c r="G43" s="276" t="s">
        <v>311</v>
      </c>
      <c r="H43" s="276" t="s">
        <v>311</v>
      </c>
      <c r="I43" s="325">
        <v>33394907</v>
      </c>
      <c r="J43" s="276" t="s">
        <v>312</v>
      </c>
      <c r="K43" s="276">
        <v>33649762</v>
      </c>
      <c r="L43" s="276" t="s">
        <v>315</v>
      </c>
      <c r="M43" s="276"/>
      <c r="N43" s="276"/>
      <c r="O43" s="276"/>
      <c r="P43" s="276"/>
      <c r="Q43" s="276"/>
      <c r="R43" s="326"/>
      <c r="S43" s="276"/>
      <c r="T43" s="276"/>
      <c r="U43" s="276"/>
      <c r="V43" s="332" t="s">
        <v>166</v>
      </c>
      <c r="W43" s="141"/>
    </row>
    <row r="44" spans="2:23">
      <c r="B44" s="273"/>
      <c r="C44" s="273"/>
      <c r="D44" s="273"/>
      <c r="E44" s="273"/>
      <c r="F44" s="274"/>
      <c r="G44" s="277"/>
      <c r="H44" s="277"/>
      <c r="I44" s="277"/>
      <c r="J44" s="327"/>
      <c r="K44" s="327"/>
      <c r="L44" s="327"/>
      <c r="M44" s="327"/>
      <c r="N44" s="327"/>
      <c r="O44" s="327"/>
      <c r="P44" s="327"/>
      <c r="Q44" s="327"/>
      <c r="R44" s="277"/>
      <c r="S44" s="277"/>
      <c r="T44" s="277"/>
      <c r="U44" s="279"/>
    </row>
    <row r="45" spans="2:23">
      <c r="B45" s="412" t="s">
        <v>47</v>
      </c>
      <c r="C45" s="412"/>
      <c r="D45" s="412"/>
      <c r="E45" s="412"/>
      <c r="F45" s="412"/>
      <c r="G45" s="329">
        <v>0</v>
      </c>
      <c r="H45" s="329"/>
      <c r="I45" s="329">
        <v>0</v>
      </c>
      <c r="J45" s="329"/>
      <c r="K45" s="329">
        <v>0</v>
      </c>
      <c r="L45" s="329"/>
      <c r="M45" s="329">
        <f>SUM(M7:M44)</f>
        <v>571791391</v>
      </c>
      <c r="N45" s="329"/>
      <c r="O45" s="329"/>
      <c r="P45" s="329"/>
      <c r="Q45" s="329"/>
      <c r="R45" s="329"/>
      <c r="S45" s="329"/>
      <c r="T45" s="329"/>
      <c r="U45" s="280">
        <f>SUM(U7:U44)</f>
        <v>0</v>
      </c>
      <c r="V45" s="261"/>
      <c r="W45" s="270"/>
    </row>
    <row r="51" spans="2:16">
      <c r="J51" s="331">
        <v>424200</v>
      </c>
    </row>
    <row r="58" spans="2:16">
      <c r="B58" s="412" t="s">
        <v>161</v>
      </c>
      <c r="C58" s="412" t="s">
        <v>0</v>
      </c>
      <c r="D58" s="412" t="s">
        <v>160</v>
      </c>
      <c r="E58" s="429" t="s">
        <v>46</v>
      </c>
      <c r="F58" s="412" t="s">
        <v>162</v>
      </c>
      <c r="G58" s="428" t="s">
        <v>164</v>
      </c>
      <c r="H58" s="428"/>
      <c r="I58" s="428" t="s">
        <v>163</v>
      </c>
      <c r="J58" s="428"/>
      <c r="K58" s="428" t="s">
        <v>216</v>
      </c>
      <c r="L58" s="428"/>
      <c r="M58" s="428" t="s">
        <v>220</v>
      </c>
      <c r="N58" s="428"/>
      <c r="O58" s="428" t="s">
        <v>221</v>
      </c>
      <c r="P58" s="428"/>
    </row>
    <row r="59" spans="2:16">
      <c r="B59" s="412"/>
      <c r="C59" s="412"/>
      <c r="D59" s="412"/>
      <c r="E59" s="429"/>
      <c r="F59" s="412"/>
      <c r="G59" s="323" t="s">
        <v>307</v>
      </c>
      <c r="H59" s="321" t="s">
        <v>308</v>
      </c>
      <c r="I59" s="323" t="s">
        <v>307</v>
      </c>
      <c r="J59" s="321" t="s">
        <v>308</v>
      </c>
      <c r="K59" s="323" t="s">
        <v>307</v>
      </c>
      <c r="L59" s="321" t="s">
        <v>308</v>
      </c>
      <c r="M59" s="323" t="s">
        <v>307</v>
      </c>
      <c r="N59" s="321" t="s">
        <v>308</v>
      </c>
      <c r="O59" s="323" t="s">
        <v>307</v>
      </c>
      <c r="P59" s="321" t="s">
        <v>308</v>
      </c>
    </row>
    <row r="60" spans="2:16">
      <c r="C60" s="270" t="s">
        <v>5</v>
      </c>
      <c r="D60" s="320" t="s">
        <v>121</v>
      </c>
      <c r="E60" s="320" t="s">
        <v>13</v>
      </c>
      <c r="F60" s="271">
        <v>99</v>
      </c>
      <c r="G60" s="276" t="s">
        <v>311</v>
      </c>
      <c r="H60" s="276" t="s">
        <v>311</v>
      </c>
      <c r="I60" s="276">
        <v>33649730</v>
      </c>
      <c r="J60" s="276"/>
      <c r="K60" s="276" t="s">
        <v>311</v>
      </c>
      <c r="L60" s="276" t="s">
        <v>311</v>
      </c>
      <c r="M60" s="276" t="s">
        <v>311</v>
      </c>
      <c r="N60" s="276" t="s">
        <v>311</v>
      </c>
      <c r="O60" s="333" t="s">
        <v>311</v>
      </c>
      <c r="P60" s="276" t="s">
        <v>311</v>
      </c>
    </row>
    <row r="61" spans="2:16">
      <c r="C61" s="270" t="s">
        <v>4</v>
      </c>
      <c r="D61" s="320" t="s">
        <v>145</v>
      </c>
      <c r="E61" s="320" t="s">
        <v>13</v>
      </c>
      <c r="F61" s="271">
        <v>144</v>
      </c>
      <c r="G61" s="276">
        <v>33649732</v>
      </c>
      <c r="H61" s="276"/>
      <c r="I61" s="276">
        <v>33649733</v>
      </c>
      <c r="J61" s="276"/>
      <c r="K61" s="276" t="s">
        <v>311</v>
      </c>
      <c r="L61" s="276" t="s">
        <v>311</v>
      </c>
      <c r="M61" s="276" t="s">
        <v>311</v>
      </c>
      <c r="N61" s="276" t="s">
        <v>311</v>
      </c>
      <c r="O61" s="333" t="s">
        <v>311</v>
      </c>
      <c r="P61" s="276" t="s">
        <v>311</v>
      </c>
    </row>
    <row r="62" spans="2:16">
      <c r="C62" s="270" t="s">
        <v>4</v>
      </c>
      <c r="D62" s="320" t="s">
        <v>154</v>
      </c>
      <c r="E62" s="320" t="s">
        <v>13</v>
      </c>
      <c r="F62" s="271">
        <v>144</v>
      </c>
      <c r="G62" s="276">
        <v>33649736</v>
      </c>
      <c r="H62" s="276"/>
      <c r="I62" s="276">
        <v>33649737</v>
      </c>
      <c r="J62" s="276"/>
      <c r="K62" s="276" t="s">
        <v>311</v>
      </c>
      <c r="L62" s="276" t="s">
        <v>311</v>
      </c>
      <c r="M62" s="333" t="s">
        <v>311</v>
      </c>
      <c r="N62" s="276" t="s">
        <v>311</v>
      </c>
      <c r="O62" s="333" t="s">
        <v>311</v>
      </c>
      <c r="P62" s="276" t="s">
        <v>311</v>
      </c>
    </row>
    <row r="63" spans="2:16">
      <c r="C63" s="270" t="s">
        <v>468</v>
      </c>
      <c r="D63" s="320" t="s">
        <v>142</v>
      </c>
      <c r="E63" s="320" t="s">
        <v>13</v>
      </c>
      <c r="F63" s="271">
        <v>96</v>
      </c>
      <c r="G63" s="276" t="s">
        <v>311</v>
      </c>
      <c r="H63" s="276" t="s">
        <v>311</v>
      </c>
      <c r="I63" s="276">
        <v>33649745</v>
      </c>
      <c r="J63" s="276"/>
      <c r="K63" s="276" t="s">
        <v>311</v>
      </c>
      <c r="L63" s="276" t="s">
        <v>311</v>
      </c>
      <c r="M63" s="333" t="s">
        <v>311</v>
      </c>
      <c r="N63" s="276" t="s">
        <v>311</v>
      </c>
      <c r="O63" s="333" t="s">
        <v>311</v>
      </c>
      <c r="P63" s="276" t="s">
        <v>311</v>
      </c>
    </row>
    <row r="66" spans="3:16">
      <c r="C66" s="270" t="s">
        <v>4</v>
      </c>
      <c r="D66" s="320" t="s">
        <v>152</v>
      </c>
      <c r="E66" s="320" t="s">
        <v>12</v>
      </c>
      <c r="F66" s="271">
        <v>96</v>
      </c>
      <c r="G66" s="276">
        <v>33649734</v>
      </c>
      <c r="H66" s="276"/>
      <c r="I66" s="276">
        <v>33649735</v>
      </c>
      <c r="J66" s="276"/>
      <c r="K66" s="276" t="s">
        <v>311</v>
      </c>
      <c r="L66" s="276" t="s">
        <v>311</v>
      </c>
      <c r="M66" s="333" t="s">
        <v>311</v>
      </c>
      <c r="N66" s="276" t="s">
        <v>311</v>
      </c>
      <c r="O66" s="333" t="s">
        <v>311</v>
      </c>
      <c r="P66" s="276" t="s">
        <v>311</v>
      </c>
    </row>
    <row r="67" spans="3:16">
      <c r="C67" s="270" t="s">
        <v>34</v>
      </c>
      <c r="D67" s="320" t="s">
        <v>128</v>
      </c>
      <c r="E67" s="320" t="s">
        <v>12</v>
      </c>
      <c r="F67" s="271">
        <v>99</v>
      </c>
      <c r="G67" s="276">
        <v>33649738</v>
      </c>
      <c r="H67" s="276"/>
      <c r="I67" s="276">
        <v>33649739</v>
      </c>
      <c r="J67" s="276"/>
      <c r="K67" s="276" t="s">
        <v>311</v>
      </c>
      <c r="L67" s="276" t="s">
        <v>311</v>
      </c>
      <c r="M67" s="276" t="s">
        <v>311</v>
      </c>
      <c r="N67" s="276" t="s">
        <v>311</v>
      </c>
      <c r="O67" s="276" t="s">
        <v>311</v>
      </c>
      <c r="P67" s="276" t="s">
        <v>311</v>
      </c>
    </row>
    <row r="68" spans="3:16">
      <c r="C68" s="270" t="s">
        <v>34</v>
      </c>
      <c r="D68" s="320" t="s">
        <v>129</v>
      </c>
      <c r="E68" s="320" t="s">
        <v>12</v>
      </c>
      <c r="F68" s="271">
        <v>147</v>
      </c>
      <c r="G68" s="276">
        <v>33649740</v>
      </c>
      <c r="H68" s="276"/>
      <c r="I68" s="276">
        <v>33649741</v>
      </c>
      <c r="J68" s="276"/>
      <c r="K68" s="276" t="s">
        <v>311</v>
      </c>
      <c r="L68" s="276" t="s">
        <v>311</v>
      </c>
      <c r="M68" s="276" t="s">
        <v>311</v>
      </c>
      <c r="N68" s="276" t="s">
        <v>311</v>
      </c>
      <c r="O68" s="276" t="s">
        <v>311</v>
      </c>
      <c r="P68" s="276" t="s">
        <v>311</v>
      </c>
    </row>
    <row r="73" spans="3:16">
      <c r="C73" s="416" t="s">
        <v>0</v>
      </c>
      <c r="D73" s="416" t="s">
        <v>160</v>
      </c>
      <c r="E73" s="415" t="s">
        <v>46</v>
      </c>
      <c r="F73" s="416" t="s">
        <v>162</v>
      </c>
      <c r="G73" s="427" t="s">
        <v>462</v>
      </c>
      <c r="H73" s="427" t="s">
        <v>463</v>
      </c>
      <c r="I73" s="427" t="s">
        <v>464</v>
      </c>
      <c r="J73" s="427" t="s">
        <v>469</v>
      </c>
      <c r="K73" s="427" t="s">
        <v>466</v>
      </c>
      <c r="L73" s="427" t="s">
        <v>470</v>
      </c>
      <c r="M73" s="427" t="s">
        <v>467</v>
      </c>
    </row>
    <row r="74" spans="3:16">
      <c r="C74" s="416"/>
      <c r="D74" s="416"/>
      <c r="E74" s="415"/>
      <c r="F74" s="416"/>
      <c r="G74" s="427"/>
      <c r="H74" s="427"/>
      <c r="I74" s="427"/>
      <c r="J74" s="427"/>
      <c r="K74" s="427"/>
      <c r="L74" s="427"/>
      <c r="M74" s="427"/>
    </row>
    <row r="75" spans="3:16">
      <c r="C75" s="270" t="s">
        <v>5</v>
      </c>
      <c r="D75" s="320" t="s">
        <v>120</v>
      </c>
      <c r="E75" s="320" t="s">
        <v>13</v>
      </c>
      <c r="F75" s="271">
        <v>147</v>
      </c>
      <c r="G75" s="348">
        <v>0</v>
      </c>
      <c r="H75" s="348">
        <v>26460</v>
      </c>
      <c r="I75" s="348"/>
      <c r="J75" s="348"/>
      <c r="K75" s="348"/>
      <c r="L75" s="348"/>
      <c r="M75" s="360">
        <f>G75+H75+I75+J75+K75+L75</f>
        <v>26460</v>
      </c>
    </row>
    <row r="76" spans="3:16">
      <c r="C76" s="270" t="s">
        <v>5</v>
      </c>
      <c r="D76" s="320" t="s">
        <v>121</v>
      </c>
      <c r="E76" s="320" t="s">
        <v>13</v>
      </c>
      <c r="F76" s="271">
        <v>99</v>
      </c>
      <c r="G76" s="348">
        <v>0</v>
      </c>
      <c r="H76" s="348">
        <v>17820</v>
      </c>
      <c r="I76" s="348"/>
      <c r="J76" s="348"/>
      <c r="K76" s="348"/>
      <c r="L76" s="348"/>
      <c r="M76" s="360">
        <f>G76+H76+I76+J76+K76+L76</f>
        <v>17820</v>
      </c>
    </row>
    <row r="77" spans="3:16">
      <c r="C77" s="270" t="s">
        <v>4</v>
      </c>
      <c r="D77" s="320" t="s">
        <v>145</v>
      </c>
      <c r="E77" s="320" t="s">
        <v>13</v>
      </c>
      <c r="F77" s="271">
        <v>144</v>
      </c>
      <c r="G77" s="348">
        <v>14400</v>
      </c>
      <c r="H77" s="348">
        <v>14400</v>
      </c>
      <c r="I77" s="348">
        <v>14400</v>
      </c>
      <c r="J77" s="348">
        <v>14400</v>
      </c>
      <c r="K77" s="348">
        <v>14400</v>
      </c>
      <c r="L77" s="348">
        <v>14400</v>
      </c>
      <c r="M77" s="360">
        <f>G77+H77+I77+J77+K77+L77</f>
        <v>86400</v>
      </c>
    </row>
    <row r="78" spans="3:16">
      <c r="C78" s="270" t="s">
        <v>4</v>
      </c>
      <c r="D78" s="320" t="s">
        <v>154</v>
      </c>
      <c r="E78" s="320" t="s">
        <v>13</v>
      </c>
      <c r="F78" s="271">
        <v>144</v>
      </c>
      <c r="G78" s="348">
        <v>14400</v>
      </c>
      <c r="H78" s="348">
        <v>14400</v>
      </c>
      <c r="I78" s="348">
        <v>14400</v>
      </c>
      <c r="J78" s="348">
        <v>14400</v>
      </c>
      <c r="K78" s="348">
        <v>14400</v>
      </c>
      <c r="L78" s="348">
        <v>14400</v>
      </c>
      <c r="M78" s="360">
        <f>G78+H78+I78+J78+K78+L78</f>
        <v>86400</v>
      </c>
    </row>
    <row r="79" spans="3:16">
      <c r="C79" s="270" t="s">
        <v>468</v>
      </c>
      <c r="D79" s="320" t="s">
        <v>142</v>
      </c>
      <c r="E79" s="320" t="s">
        <v>13</v>
      </c>
      <c r="F79" s="271">
        <v>96</v>
      </c>
      <c r="G79" s="348">
        <v>0</v>
      </c>
      <c r="H79" s="348">
        <v>19200</v>
      </c>
      <c r="I79" s="348">
        <v>19200</v>
      </c>
      <c r="J79" s="348">
        <v>19200</v>
      </c>
      <c r="K79" s="348">
        <v>19200</v>
      </c>
      <c r="L79" s="348">
        <v>19200</v>
      </c>
      <c r="M79" s="360">
        <f>G79+H79+I79+J79+K79+L79</f>
        <v>96000</v>
      </c>
    </row>
    <row r="80" spans="3:16">
      <c r="C80" s="270" t="s">
        <v>472</v>
      </c>
      <c r="D80" s="363" t="s">
        <v>473</v>
      </c>
      <c r="E80" s="320" t="s">
        <v>13</v>
      </c>
      <c r="F80" s="271">
        <v>119</v>
      </c>
      <c r="G80" s="348">
        <v>0</v>
      </c>
      <c r="H80" s="348">
        <v>0</v>
      </c>
      <c r="I80" s="348"/>
      <c r="J80" s="348"/>
      <c r="K80" s="348"/>
      <c r="L80" s="348"/>
      <c r="M80" s="360"/>
    </row>
    <row r="81" spans="3:14" ht="15.75">
      <c r="C81" s="422" t="s">
        <v>172</v>
      </c>
      <c r="D81" s="423"/>
      <c r="E81" s="424"/>
      <c r="F81" s="324"/>
      <c r="G81" s="361">
        <f>SUM(G76:G79)</f>
        <v>28800</v>
      </c>
      <c r="H81" s="361">
        <f>SUM(H75:H80)</f>
        <v>92280</v>
      </c>
      <c r="I81" s="361">
        <f>SUM(I76:I79)</f>
        <v>48000</v>
      </c>
      <c r="J81" s="361">
        <f>SUM(J76:J79)</f>
        <v>48000</v>
      </c>
      <c r="K81" s="361">
        <f>SUM(K76:K79)</f>
        <v>48000</v>
      </c>
      <c r="L81" s="361">
        <f>SUM(L76:L79)</f>
        <v>48000</v>
      </c>
      <c r="M81" s="362"/>
    </row>
    <row r="82" spans="3:14" ht="18.75">
      <c r="C82" s="422" t="s">
        <v>471</v>
      </c>
      <c r="D82" s="423"/>
      <c r="E82" s="423"/>
      <c r="F82" s="423"/>
      <c r="G82" s="423"/>
      <c r="H82" s="423"/>
      <c r="I82" s="423"/>
      <c r="J82" s="423"/>
      <c r="K82" s="424"/>
      <c r="L82" s="425">
        <f>SUM(M75:M81)</f>
        <v>313080</v>
      </c>
      <c r="M82" s="426"/>
    </row>
    <row r="83" spans="3:14">
      <c r="M83" s="359"/>
      <c r="N83" s="359"/>
    </row>
    <row r="86" spans="3:14">
      <c r="C86" s="416" t="s">
        <v>0</v>
      </c>
      <c r="D86" s="416" t="s">
        <v>160</v>
      </c>
      <c r="E86" s="415" t="s">
        <v>46</v>
      </c>
      <c r="F86" s="416" t="s">
        <v>162</v>
      </c>
      <c r="G86" s="427" t="s">
        <v>462</v>
      </c>
      <c r="H86" s="427" t="s">
        <v>463</v>
      </c>
      <c r="I86" s="427" t="s">
        <v>464</v>
      </c>
      <c r="J86" s="427" t="s">
        <v>469</v>
      </c>
      <c r="K86" s="427" t="s">
        <v>466</v>
      </c>
      <c r="L86" s="427" t="s">
        <v>470</v>
      </c>
      <c r="M86" s="427" t="s">
        <v>467</v>
      </c>
    </row>
    <row r="87" spans="3:14">
      <c r="C87" s="416"/>
      <c r="D87" s="416"/>
      <c r="E87" s="415"/>
      <c r="F87" s="416"/>
      <c r="G87" s="427"/>
      <c r="H87" s="427"/>
      <c r="I87" s="427"/>
      <c r="J87" s="427"/>
      <c r="K87" s="427"/>
      <c r="L87" s="427"/>
      <c r="M87" s="427"/>
    </row>
    <row r="88" spans="3:14">
      <c r="C88" s="270" t="s">
        <v>4</v>
      </c>
      <c r="D88" s="320" t="s">
        <v>152</v>
      </c>
      <c r="E88" s="320" t="s">
        <v>12</v>
      </c>
      <c r="F88" s="271">
        <v>96</v>
      </c>
      <c r="G88" s="348">
        <v>0</v>
      </c>
      <c r="H88" s="348">
        <v>9600</v>
      </c>
      <c r="I88" s="348">
        <v>9600</v>
      </c>
      <c r="J88" s="348">
        <v>9600</v>
      </c>
      <c r="K88" s="348">
        <v>9600</v>
      </c>
      <c r="L88" s="348">
        <v>9600</v>
      </c>
      <c r="M88" s="360">
        <f>G88+H88+I88+J88+K88+L88</f>
        <v>48000</v>
      </c>
    </row>
    <row r="89" spans="3:14">
      <c r="C89" s="270" t="s">
        <v>34</v>
      </c>
      <c r="D89" s="320" t="s">
        <v>128</v>
      </c>
      <c r="E89" s="320" t="s">
        <v>12</v>
      </c>
      <c r="F89" s="271">
        <v>99</v>
      </c>
      <c r="G89" s="348">
        <v>29700</v>
      </c>
      <c r="H89" s="348">
        <v>29700</v>
      </c>
      <c r="I89" s="348">
        <v>29700</v>
      </c>
      <c r="J89" s="348">
        <v>29700</v>
      </c>
      <c r="K89" s="348">
        <v>29700</v>
      </c>
      <c r="L89" s="348"/>
      <c r="M89" s="360">
        <f>G89+H89+I89+J89+K89+L89</f>
        <v>148500</v>
      </c>
    </row>
    <row r="90" spans="3:14">
      <c r="C90" s="270" t="s">
        <v>34</v>
      </c>
      <c r="D90" s="320" t="s">
        <v>129</v>
      </c>
      <c r="E90" s="320" t="s">
        <v>12</v>
      </c>
      <c r="F90" s="271">
        <v>147</v>
      </c>
      <c r="G90" s="348">
        <v>44100</v>
      </c>
      <c r="H90" s="348">
        <v>44100</v>
      </c>
      <c r="I90" s="348">
        <v>44100</v>
      </c>
      <c r="J90" s="348">
        <v>44100</v>
      </c>
      <c r="K90" s="348">
        <v>44100</v>
      </c>
      <c r="L90" s="348"/>
      <c r="M90" s="360">
        <f>G90+H90+I90+J90+K90+L90</f>
        <v>220500</v>
      </c>
    </row>
    <row r="91" spans="3:14">
      <c r="C91" s="270" t="s">
        <v>9</v>
      </c>
      <c r="D91" s="320" t="s">
        <v>130</v>
      </c>
      <c r="E91" s="320" t="s">
        <v>12</v>
      </c>
      <c r="F91" s="271">
        <v>291</v>
      </c>
      <c r="G91" s="348">
        <v>0</v>
      </c>
      <c r="H91" s="348">
        <v>0</v>
      </c>
      <c r="I91" s="348">
        <v>0</v>
      </c>
      <c r="J91" s="348">
        <v>0</v>
      </c>
      <c r="K91" s="348">
        <v>65610</v>
      </c>
      <c r="L91" s="348">
        <v>65610</v>
      </c>
      <c r="M91" s="360">
        <f>G91+H91+I91+J91+K91+L91</f>
        <v>131220</v>
      </c>
    </row>
    <row r="92" spans="3:14">
      <c r="C92" s="270" t="s">
        <v>474</v>
      </c>
      <c r="D92" s="320" t="s">
        <v>44</v>
      </c>
      <c r="E92" s="320" t="s">
        <v>12</v>
      </c>
      <c r="F92" s="271">
        <v>171.5</v>
      </c>
      <c r="G92" s="348">
        <v>34400</v>
      </c>
      <c r="H92" s="348">
        <v>34400</v>
      </c>
      <c r="I92" s="348">
        <v>34400</v>
      </c>
      <c r="J92" s="348">
        <v>34400</v>
      </c>
      <c r="K92" s="348">
        <v>34400</v>
      </c>
      <c r="L92" s="348">
        <v>34400</v>
      </c>
      <c r="M92" s="360">
        <f>G92+H92+I92+J92+K92+L92</f>
        <v>206400</v>
      </c>
    </row>
    <row r="93" spans="3:14">
      <c r="C93" s="270"/>
      <c r="D93" s="363"/>
      <c r="E93" s="320"/>
      <c r="F93" s="271"/>
      <c r="G93" s="348"/>
      <c r="H93" s="348"/>
      <c r="I93" s="348"/>
      <c r="J93" s="348"/>
      <c r="K93" s="348"/>
      <c r="L93" s="348"/>
      <c r="M93" s="360"/>
    </row>
    <row r="94" spans="3:14" ht="15.75">
      <c r="C94" s="422" t="s">
        <v>172</v>
      </c>
      <c r="D94" s="423"/>
      <c r="E94" s="424"/>
      <c r="F94" s="324"/>
      <c r="G94" s="361">
        <f>SUM(G89:G92)</f>
        <v>108200</v>
      </c>
      <c r="H94" s="361">
        <f>SUM(H88:H93)</f>
        <v>117800</v>
      </c>
      <c r="I94" s="361">
        <f>SUM(I89:I92)</f>
        <v>108200</v>
      </c>
      <c r="J94" s="361">
        <f>SUM(J89:J92)</f>
        <v>108200</v>
      </c>
      <c r="K94" s="361">
        <f>SUM(K89:K92)</f>
        <v>173810</v>
      </c>
      <c r="L94" s="361">
        <f>SUM(L89:L92)</f>
        <v>100010</v>
      </c>
      <c r="M94" s="362"/>
    </row>
    <row r="95" spans="3:14" ht="18.75">
      <c r="C95" s="422" t="s">
        <v>471</v>
      </c>
      <c r="D95" s="423"/>
      <c r="E95" s="423"/>
      <c r="F95" s="423"/>
      <c r="G95" s="423"/>
      <c r="H95" s="423"/>
      <c r="I95" s="423"/>
      <c r="J95" s="423"/>
      <c r="K95" s="424"/>
      <c r="L95" s="425">
        <f>SUM(M88:M94)</f>
        <v>754620</v>
      </c>
      <c r="M95" s="426"/>
    </row>
  </sheetData>
  <mergeCells count="59">
    <mergeCell ref="O5:P5"/>
    <mergeCell ref="F5:F6"/>
    <mergeCell ref="E5:E6"/>
    <mergeCell ref="D5:D6"/>
    <mergeCell ref="C5:C6"/>
    <mergeCell ref="G5:H5"/>
    <mergeCell ref="I5:J5"/>
    <mergeCell ref="K5:L5"/>
    <mergeCell ref="M5:N5"/>
    <mergeCell ref="B5:B6"/>
    <mergeCell ref="B58:B59"/>
    <mergeCell ref="C58:C59"/>
    <mergeCell ref="D58:D59"/>
    <mergeCell ref="E58:E59"/>
    <mergeCell ref="B31:B42"/>
    <mergeCell ref="C31:C42"/>
    <mergeCell ref="B45:F45"/>
    <mergeCell ref="B7:B8"/>
    <mergeCell ref="C7:C8"/>
    <mergeCell ref="B10:B16"/>
    <mergeCell ref="C10:C16"/>
    <mergeCell ref="B17:B26"/>
    <mergeCell ref="C17:C26"/>
    <mergeCell ref="B27:B30"/>
    <mergeCell ref="C27:C30"/>
    <mergeCell ref="O58:P58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F58:F59"/>
    <mergeCell ref="G58:H58"/>
    <mergeCell ref="I58:J58"/>
    <mergeCell ref="K58:L58"/>
    <mergeCell ref="M58:N58"/>
    <mergeCell ref="M73:M74"/>
    <mergeCell ref="C86:C87"/>
    <mergeCell ref="D86:D87"/>
    <mergeCell ref="E86:E87"/>
    <mergeCell ref="F86:F87"/>
    <mergeCell ref="G86:G87"/>
    <mergeCell ref="H86:H87"/>
    <mergeCell ref="I86:I87"/>
    <mergeCell ref="J86:J87"/>
    <mergeCell ref="K86:K87"/>
    <mergeCell ref="L86:L87"/>
    <mergeCell ref="M86:M87"/>
    <mergeCell ref="C94:E94"/>
    <mergeCell ref="C95:K95"/>
    <mergeCell ref="L95:M95"/>
    <mergeCell ref="L82:M82"/>
    <mergeCell ref="C81:E81"/>
    <mergeCell ref="C82:K82"/>
  </mergeCells>
  <conditionalFormatting sqref="D9">
    <cfRule type="duplicateValues" dxfId="295" priority="89"/>
    <cfRule type="duplicateValues" dxfId="294" priority="90"/>
  </conditionalFormatting>
  <conditionalFormatting sqref="D17:D26">
    <cfRule type="duplicateValues" dxfId="293" priority="87"/>
    <cfRule type="duplicateValues" dxfId="292" priority="88"/>
  </conditionalFormatting>
  <conditionalFormatting sqref="D10:D13">
    <cfRule type="duplicateValues" dxfId="291" priority="85"/>
    <cfRule type="duplicateValues" dxfId="290" priority="86"/>
  </conditionalFormatting>
  <conditionalFormatting sqref="D14:D16">
    <cfRule type="duplicateValues" dxfId="289" priority="83"/>
    <cfRule type="duplicateValues" dxfId="288" priority="84"/>
  </conditionalFormatting>
  <conditionalFormatting sqref="D31:D37">
    <cfRule type="duplicateValues" dxfId="287" priority="81"/>
    <cfRule type="duplicateValues" dxfId="286" priority="82"/>
  </conditionalFormatting>
  <conditionalFormatting sqref="D43">
    <cfRule type="duplicateValues" dxfId="285" priority="79"/>
    <cfRule type="duplicateValues" dxfId="284" priority="80"/>
  </conditionalFormatting>
  <conditionalFormatting sqref="D27:D30">
    <cfRule type="duplicateValues" dxfId="283" priority="77"/>
    <cfRule type="duplicateValues" dxfId="282" priority="78"/>
  </conditionalFormatting>
  <conditionalFormatting sqref="D38:D42">
    <cfRule type="duplicateValues" dxfId="281" priority="91"/>
    <cfRule type="duplicateValues" dxfId="280" priority="92"/>
  </conditionalFormatting>
  <conditionalFormatting sqref="D7:D8">
    <cfRule type="duplicateValues" dxfId="279" priority="93"/>
    <cfRule type="duplicateValues" dxfId="278" priority="94"/>
  </conditionalFormatting>
  <conditionalFormatting sqref="D7:D44">
    <cfRule type="duplicateValues" dxfId="277" priority="95"/>
    <cfRule type="duplicateValues" dxfId="276" priority="96"/>
  </conditionalFormatting>
  <conditionalFormatting sqref="D60">
    <cfRule type="duplicateValues" dxfId="275" priority="73"/>
    <cfRule type="duplicateValues" dxfId="274" priority="74"/>
  </conditionalFormatting>
  <conditionalFormatting sqref="D60">
    <cfRule type="duplicateValues" dxfId="273" priority="75"/>
    <cfRule type="duplicateValues" dxfId="272" priority="76"/>
  </conditionalFormatting>
  <conditionalFormatting sqref="D61">
    <cfRule type="duplicateValues" dxfId="271" priority="69"/>
    <cfRule type="duplicateValues" dxfId="270" priority="70"/>
  </conditionalFormatting>
  <conditionalFormatting sqref="D61">
    <cfRule type="duplicateValues" dxfId="269" priority="71"/>
    <cfRule type="duplicateValues" dxfId="268" priority="72"/>
  </conditionalFormatting>
  <conditionalFormatting sqref="D62">
    <cfRule type="duplicateValues" dxfId="267" priority="65"/>
    <cfRule type="duplicateValues" dxfId="266" priority="66"/>
  </conditionalFormatting>
  <conditionalFormatting sqref="D62">
    <cfRule type="duplicateValues" dxfId="265" priority="67"/>
    <cfRule type="duplicateValues" dxfId="264" priority="68"/>
  </conditionalFormatting>
  <conditionalFormatting sqref="D63">
    <cfRule type="duplicateValues" dxfId="263" priority="61"/>
    <cfRule type="duplicateValues" dxfId="262" priority="62"/>
  </conditionalFormatting>
  <conditionalFormatting sqref="D63">
    <cfRule type="duplicateValues" dxfId="261" priority="63"/>
    <cfRule type="duplicateValues" dxfId="260" priority="64"/>
  </conditionalFormatting>
  <conditionalFormatting sqref="D66">
    <cfRule type="duplicateValues" dxfId="259" priority="57"/>
    <cfRule type="duplicateValues" dxfId="258" priority="58"/>
  </conditionalFormatting>
  <conditionalFormatting sqref="D66">
    <cfRule type="duplicateValues" dxfId="257" priority="59"/>
    <cfRule type="duplicateValues" dxfId="256" priority="60"/>
  </conditionalFormatting>
  <conditionalFormatting sqref="D67:D68">
    <cfRule type="duplicateValues" dxfId="255" priority="53"/>
    <cfRule type="duplicateValues" dxfId="254" priority="54"/>
  </conditionalFormatting>
  <conditionalFormatting sqref="D67:D68">
    <cfRule type="duplicateValues" dxfId="253" priority="55"/>
    <cfRule type="duplicateValues" dxfId="252" priority="56"/>
  </conditionalFormatting>
  <conditionalFormatting sqref="D76">
    <cfRule type="duplicateValues" dxfId="251" priority="49"/>
    <cfRule type="duplicateValues" dxfId="250" priority="50"/>
  </conditionalFormatting>
  <conditionalFormatting sqref="D76">
    <cfRule type="duplicateValues" dxfId="249" priority="51"/>
    <cfRule type="duplicateValues" dxfId="248" priority="52"/>
  </conditionalFormatting>
  <conditionalFormatting sqref="D77">
    <cfRule type="duplicateValues" dxfId="247" priority="45"/>
    <cfRule type="duplicateValues" dxfId="246" priority="46"/>
  </conditionalFormatting>
  <conditionalFormatting sqref="D77">
    <cfRule type="duplicateValues" dxfId="245" priority="47"/>
    <cfRule type="duplicateValues" dxfId="244" priority="48"/>
  </conditionalFormatting>
  <conditionalFormatting sqref="D78">
    <cfRule type="duplicateValues" dxfId="243" priority="41"/>
    <cfRule type="duplicateValues" dxfId="242" priority="42"/>
  </conditionalFormatting>
  <conditionalFormatting sqref="D78">
    <cfRule type="duplicateValues" dxfId="241" priority="43"/>
    <cfRule type="duplicateValues" dxfId="240" priority="44"/>
  </conditionalFormatting>
  <conditionalFormatting sqref="D79:D80">
    <cfRule type="duplicateValues" dxfId="239" priority="37"/>
    <cfRule type="duplicateValues" dxfId="238" priority="38"/>
  </conditionalFormatting>
  <conditionalFormatting sqref="D79:D80">
    <cfRule type="duplicateValues" dxfId="237" priority="39"/>
    <cfRule type="duplicateValues" dxfId="236" priority="40"/>
  </conditionalFormatting>
  <conditionalFormatting sqref="D75">
    <cfRule type="duplicateValues" dxfId="235" priority="33"/>
    <cfRule type="duplicateValues" dxfId="234" priority="34"/>
  </conditionalFormatting>
  <conditionalFormatting sqref="D75">
    <cfRule type="duplicateValues" dxfId="233" priority="35"/>
    <cfRule type="duplicateValues" dxfId="232" priority="36"/>
  </conditionalFormatting>
  <conditionalFormatting sqref="D92">
    <cfRule type="duplicateValues" dxfId="231" priority="21"/>
    <cfRule type="duplicateValues" dxfId="230" priority="22"/>
  </conditionalFormatting>
  <conditionalFormatting sqref="D92">
    <cfRule type="duplicateValues" dxfId="229" priority="23"/>
    <cfRule type="duplicateValues" dxfId="228" priority="24"/>
  </conditionalFormatting>
  <conditionalFormatting sqref="D93">
    <cfRule type="duplicateValues" dxfId="227" priority="17"/>
    <cfRule type="duplicateValues" dxfId="226" priority="18"/>
  </conditionalFormatting>
  <conditionalFormatting sqref="D93">
    <cfRule type="duplicateValues" dxfId="225" priority="19"/>
    <cfRule type="duplicateValues" dxfId="224" priority="20"/>
  </conditionalFormatting>
  <conditionalFormatting sqref="D88">
    <cfRule type="duplicateValues" dxfId="223" priority="9"/>
    <cfRule type="duplicateValues" dxfId="222" priority="10"/>
  </conditionalFormatting>
  <conditionalFormatting sqref="D88">
    <cfRule type="duplicateValues" dxfId="221" priority="11"/>
    <cfRule type="duplicateValues" dxfId="220" priority="12"/>
  </conditionalFormatting>
  <conditionalFormatting sqref="D89:D90">
    <cfRule type="duplicateValues" dxfId="219" priority="5"/>
    <cfRule type="duplicateValues" dxfId="218" priority="6"/>
  </conditionalFormatting>
  <conditionalFormatting sqref="D89:D90">
    <cfRule type="duplicateValues" dxfId="217" priority="7"/>
    <cfRule type="duplicateValues" dxfId="216" priority="8"/>
  </conditionalFormatting>
  <conditionalFormatting sqref="D91">
    <cfRule type="duplicateValues" dxfId="215" priority="1"/>
    <cfRule type="duplicateValues" dxfId="214" priority="2"/>
  </conditionalFormatting>
  <conditionalFormatting sqref="D91">
    <cfRule type="duplicateValues" dxfId="213" priority="3"/>
    <cfRule type="duplicateValues" dxfId="212" priority="4"/>
  </conditionalFormatting>
  <pageMargins left="0.25" right="0.25" top="0.75" bottom="0.75" header="0.3" footer="0.3"/>
  <pageSetup paperSize="9" scale="6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O94"/>
  <sheetViews>
    <sheetView topLeftCell="B16" workbookViewId="0">
      <selection activeCell="C24" sqref="C24:F33"/>
    </sheetView>
  </sheetViews>
  <sheetFormatPr defaultColWidth="37.42578125" defaultRowHeight="15.75"/>
  <cols>
    <col min="1" max="1" width="13.28515625" style="285" customWidth="1"/>
    <col min="2" max="2" width="7.140625" style="285" bestFit="1" customWidth="1"/>
    <col min="3" max="3" width="55.140625" style="285" bestFit="1" customWidth="1"/>
    <col min="4" max="4" width="13.5703125" style="285" bestFit="1" customWidth="1"/>
    <col min="5" max="5" width="15.5703125" style="285" bestFit="1" customWidth="1"/>
    <col min="6" max="6" width="15.7109375" style="285" bestFit="1" customWidth="1"/>
    <col min="7" max="7" width="11" style="285" bestFit="1" customWidth="1"/>
    <col min="8" max="8" width="15.140625" style="285" customWidth="1"/>
    <col min="9" max="9" width="14" style="285" customWidth="1"/>
    <col min="10" max="10" width="7.140625" style="285" bestFit="1" customWidth="1"/>
    <col min="11" max="11" width="56.85546875" style="285" bestFit="1" customWidth="1"/>
    <col min="12" max="12" width="13.5703125" style="285" bestFit="1" customWidth="1"/>
    <col min="13" max="13" width="15.5703125" style="285" bestFit="1" customWidth="1"/>
    <col min="14" max="14" width="15.7109375" style="285" bestFit="1" customWidth="1"/>
    <col min="15" max="15" width="11" style="285" bestFit="1" customWidth="1"/>
    <col min="16" max="16384" width="37.42578125" style="285"/>
  </cols>
  <sheetData>
    <row r="4" spans="2:15">
      <c r="B4" s="430" t="s">
        <v>206</v>
      </c>
      <c r="C4" s="430"/>
      <c r="D4" s="430"/>
      <c r="E4" s="430"/>
      <c r="F4" s="430"/>
      <c r="G4" s="430"/>
      <c r="J4" s="430" t="s">
        <v>206</v>
      </c>
      <c r="K4" s="430"/>
      <c r="L4" s="430"/>
      <c r="M4" s="430"/>
      <c r="N4" s="430"/>
      <c r="O4" s="430"/>
    </row>
    <row r="5" spans="2:15">
      <c r="B5" s="286" t="s">
        <v>167</v>
      </c>
      <c r="C5" s="286" t="s">
        <v>169</v>
      </c>
      <c r="D5" s="286" t="s">
        <v>170</v>
      </c>
      <c r="E5" s="286" t="s">
        <v>174</v>
      </c>
      <c r="F5" s="286" t="s">
        <v>171</v>
      </c>
      <c r="G5" s="286" t="s">
        <v>168</v>
      </c>
      <c r="J5" s="286" t="s">
        <v>167</v>
      </c>
      <c r="K5" s="286" t="s">
        <v>169</v>
      </c>
      <c r="L5" s="286" t="s">
        <v>170</v>
      </c>
      <c r="M5" s="286" t="s">
        <v>174</v>
      </c>
      <c r="N5" s="286" t="s">
        <v>171</v>
      </c>
      <c r="O5" s="286" t="s">
        <v>168</v>
      </c>
    </row>
    <row r="6" spans="2:15" ht="63">
      <c r="B6" s="287">
        <v>1</v>
      </c>
      <c r="C6" s="288" t="s">
        <v>320</v>
      </c>
      <c r="D6" s="287">
        <v>33394946</v>
      </c>
      <c r="E6" s="289"/>
      <c r="F6" s="290" t="s">
        <v>173</v>
      </c>
      <c r="G6" s="291">
        <v>14400</v>
      </c>
      <c r="J6" s="287">
        <v>1</v>
      </c>
      <c r="K6" s="288" t="s">
        <v>353</v>
      </c>
      <c r="L6" s="287">
        <v>33394947</v>
      </c>
      <c r="M6" s="289"/>
      <c r="N6" s="290" t="s">
        <v>173</v>
      </c>
      <c r="O6" s="291">
        <v>14400</v>
      </c>
    </row>
    <row r="7" spans="2:15" ht="63">
      <c r="B7" s="287">
        <v>2</v>
      </c>
      <c r="C7" s="288" t="s">
        <v>321</v>
      </c>
      <c r="D7" s="287">
        <v>33649770</v>
      </c>
      <c r="E7" s="289"/>
      <c r="F7" s="290" t="s">
        <v>173</v>
      </c>
      <c r="G7" s="291">
        <v>9600</v>
      </c>
      <c r="J7" s="287">
        <v>2</v>
      </c>
      <c r="K7" s="288" t="s">
        <v>352</v>
      </c>
      <c r="L7" s="287">
        <v>33649785</v>
      </c>
      <c r="M7" s="289"/>
      <c r="N7" s="290" t="s">
        <v>173</v>
      </c>
      <c r="O7" s="291">
        <v>9600</v>
      </c>
    </row>
    <row r="8" spans="2:15" ht="63">
      <c r="B8" s="287">
        <v>3</v>
      </c>
      <c r="C8" s="288" t="s">
        <v>322</v>
      </c>
      <c r="D8" s="287">
        <v>33649769</v>
      </c>
      <c r="E8" s="289"/>
      <c r="F8" s="290" t="s">
        <v>173</v>
      </c>
      <c r="G8" s="291">
        <v>9600</v>
      </c>
      <c r="J8" s="287">
        <v>3</v>
      </c>
      <c r="K8" s="288" t="s">
        <v>351</v>
      </c>
      <c r="L8" s="287">
        <v>33649786</v>
      </c>
      <c r="M8" s="289"/>
      <c r="N8" s="290" t="s">
        <v>173</v>
      </c>
      <c r="O8" s="291">
        <v>9600</v>
      </c>
    </row>
    <row r="9" spans="2:15" ht="63">
      <c r="B9" s="287">
        <v>4</v>
      </c>
      <c r="C9" s="288" t="s">
        <v>323</v>
      </c>
      <c r="D9" s="287">
        <v>33649771</v>
      </c>
      <c r="E9" s="289"/>
      <c r="F9" s="290" t="s">
        <v>173</v>
      </c>
      <c r="G9" s="291">
        <v>9600</v>
      </c>
      <c r="J9" s="287">
        <v>4</v>
      </c>
      <c r="K9" s="288" t="s">
        <v>350</v>
      </c>
      <c r="L9" s="287">
        <v>33649787</v>
      </c>
      <c r="M9" s="289"/>
      <c r="N9" s="290" t="s">
        <v>173</v>
      </c>
      <c r="O9" s="291">
        <v>9600</v>
      </c>
    </row>
    <row r="10" spans="2:15" ht="63">
      <c r="B10" s="287">
        <v>5</v>
      </c>
      <c r="C10" s="288" t="s">
        <v>324</v>
      </c>
      <c r="D10" s="287">
        <v>33649772</v>
      </c>
      <c r="E10" s="289"/>
      <c r="F10" s="290" t="s">
        <v>173</v>
      </c>
      <c r="G10" s="291">
        <v>11800</v>
      </c>
      <c r="J10" s="287">
        <v>5</v>
      </c>
      <c r="K10" s="288" t="s">
        <v>349</v>
      </c>
      <c r="L10" s="287">
        <v>33649788</v>
      </c>
      <c r="M10" s="289"/>
      <c r="N10" s="290" t="s">
        <v>173</v>
      </c>
      <c r="O10" s="291">
        <v>11800</v>
      </c>
    </row>
    <row r="11" spans="2:15" ht="63">
      <c r="B11" s="287">
        <v>6</v>
      </c>
      <c r="C11" s="288" t="s">
        <v>325</v>
      </c>
      <c r="D11" s="287">
        <v>33649773</v>
      </c>
      <c r="E11" s="289"/>
      <c r="F11" s="290" t="s">
        <v>173</v>
      </c>
      <c r="G11" s="291">
        <v>11800</v>
      </c>
      <c r="J11" s="287">
        <v>6</v>
      </c>
      <c r="K11" s="288" t="s">
        <v>348</v>
      </c>
      <c r="L11" s="287">
        <v>33649789</v>
      </c>
      <c r="M11" s="289"/>
      <c r="N11" s="290" t="s">
        <v>173</v>
      </c>
      <c r="O11" s="291">
        <v>11800</v>
      </c>
    </row>
    <row r="12" spans="2:15" ht="63">
      <c r="B12" s="287">
        <v>7</v>
      </c>
      <c r="C12" s="288" t="s">
        <v>326</v>
      </c>
      <c r="D12" s="287">
        <v>33649774</v>
      </c>
      <c r="E12" s="289"/>
      <c r="F12" s="290" t="s">
        <v>173</v>
      </c>
      <c r="G12" s="291">
        <v>9600</v>
      </c>
      <c r="J12" s="287">
        <v>7</v>
      </c>
      <c r="K12" s="288" t="s">
        <v>347</v>
      </c>
      <c r="L12" s="287">
        <v>33649790</v>
      </c>
      <c r="M12" s="289"/>
      <c r="N12" s="290" t="s">
        <v>173</v>
      </c>
      <c r="O12" s="291">
        <v>9600</v>
      </c>
    </row>
    <row r="13" spans="2:15" ht="63">
      <c r="B13" s="287">
        <v>8</v>
      </c>
      <c r="C13" s="288" t="s">
        <v>327</v>
      </c>
      <c r="D13" s="287">
        <v>33649775</v>
      </c>
      <c r="E13" s="289"/>
      <c r="F13" s="290" t="s">
        <v>173</v>
      </c>
      <c r="G13" s="291">
        <v>9600</v>
      </c>
      <c r="J13" s="287">
        <v>8</v>
      </c>
      <c r="K13" s="288" t="s">
        <v>346</v>
      </c>
      <c r="L13" s="287">
        <v>33649791</v>
      </c>
      <c r="M13" s="289"/>
      <c r="N13" s="290" t="s">
        <v>173</v>
      </c>
      <c r="O13" s="291">
        <v>9600</v>
      </c>
    </row>
    <row r="14" spans="2:15" ht="63">
      <c r="B14" s="287">
        <v>9</v>
      </c>
      <c r="C14" s="288" t="s">
        <v>328</v>
      </c>
      <c r="D14" s="287">
        <v>33649776</v>
      </c>
      <c r="E14" s="289"/>
      <c r="F14" s="290" t="s">
        <v>173</v>
      </c>
      <c r="G14" s="291">
        <v>19600</v>
      </c>
      <c r="J14" s="287">
        <v>9</v>
      </c>
      <c r="K14" s="288" t="s">
        <v>345</v>
      </c>
      <c r="L14" s="287">
        <v>33649792</v>
      </c>
      <c r="M14" s="289"/>
      <c r="N14" s="290" t="s">
        <v>173</v>
      </c>
      <c r="O14" s="291">
        <v>19600</v>
      </c>
    </row>
    <row r="15" spans="2:15">
      <c r="B15" s="292"/>
      <c r="C15" s="293"/>
      <c r="D15" s="292"/>
      <c r="E15" s="294"/>
      <c r="F15" s="295"/>
      <c r="G15" s="296"/>
      <c r="J15" s="292"/>
      <c r="K15" s="293"/>
      <c r="L15" s="292"/>
      <c r="M15" s="294"/>
      <c r="N15" s="295"/>
      <c r="O15" s="296"/>
    </row>
    <row r="16" spans="2:15">
      <c r="B16" s="421" t="s">
        <v>172</v>
      </c>
      <c r="C16" s="421"/>
      <c r="D16" s="421"/>
      <c r="E16" s="421"/>
      <c r="F16" s="421"/>
      <c r="G16" s="297">
        <f>SUM(G6:G14)</f>
        <v>105600</v>
      </c>
      <c r="J16" s="421" t="s">
        <v>172</v>
      </c>
      <c r="K16" s="421"/>
      <c r="L16" s="421"/>
      <c r="M16" s="421"/>
      <c r="N16" s="421"/>
      <c r="O16" s="297">
        <f>SUM(O6:O14)</f>
        <v>105600</v>
      </c>
    </row>
    <row r="17" spans="2:15">
      <c r="B17" s="292"/>
      <c r="C17" s="293"/>
      <c r="D17" s="434"/>
      <c r="E17" s="432"/>
      <c r="F17" s="432"/>
      <c r="G17" s="432"/>
      <c r="J17" s="292"/>
      <c r="K17" s="293"/>
      <c r="L17" s="434"/>
      <c r="M17" s="432"/>
      <c r="N17" s="432"/>
      <c r="O17" s="432"/>
    </row>
    <row r="18" spans="2:15">
      <c r="B18" s="292"/>
      <c r="C18" s="293"/>
      <c r="D18" s="292"/>
      <c r="E18" s="294"/>
      <c r="F18" s="295"/>
      <c r="G18" s="296"/>
      <c r="J18" s="292"/>
      <c r="K18" s="293"/>
      <c r="L18" s="292"/>
      <c r="M18" s="294"/>
      <c r="N18" s="295"/>
      <c r="O18" s="296"/>
    </row>
    <row r="19" spans="2:15">
      <c r="B19" s="292"/>
      <c r="C19" s="293"/>
      <c r="D19" s="292"/>
      <c r="E19" s="294"/>
      <c r="F19" s="295"/>
      <c r="G19" s="296"/>
      <c r="J19" s="292"/>
      <c r="K19" s="293"/>
      <c r="L19" s="292"/>
      <c r="M19" s="294"/>
      <c r="N19" s="295"/>
      <c r="O19" s="296"/>
    </row>
    <row r="20" spans="2:15">
      <c r="B20" s="292"/>
      <c r="C20" s="293"/>
      <c r="D20" s="292"/>
      <c r="E20" s="294"/>
      <c r="F20" s="295"/>
      <c r="G20" s="296"/>
      <c r="J20" s="292"/>
      <c r="K20" s="293"/>
      <c r="L20" s="292"/>
      <c r="M20" s="294"/>
      <c r="N20" s="295"/>
      <c r="O20" s="296"/>
    </row>
    <row r="21" spans="2:15">
      <c r="B21" s="292"/>
      <c r="C21" s="293"/>
      <c r="D21" s="292"/>
      <c r="E21" s="294"/>
      <c r="F21" s="295"/>
      <c r="G21" s="296"/>
      <c r="J21" s="292"/>
      <c r="K21" s="293"/>
      <c r="L21" s="292"/>
      <c r="M21" s="294"/>
      <c r="N21" s="295"/>
      <c r="O21" s="296"/>
    </row>
    <row r="22" spans="2:15">
      <c r="B22" s="292"/>
      <c r="C22" s="293"/>
      <c r="D22" s="292"/>
      <c r="E22" s="294"/>
      <c r="F22" s="295"/>
      <c r="G22" s="296"/>
      <c r="J22" s="292"/>
      <c r="K22" s="293"/>
      <c r="L22" s="292"/>
      <c r="M22" s="294"/>
      <c r="N22" s="295"/>
      <c r="O22" s="296"/>
    </row>
    <row r="23" spans="2:15">
      <c r="B23" s="292"/>
      <c r="C23" s="293"/>
      <c r="D23" s="292"/>
      <c r="E23" s="294"/>
      <c r="F23" s="295"/>
      <c r="G23" s="296"/>
      <c r="J23" s="292"/>
      <c r="K23" s="293"/>
      <c r="L23" s="292"/>
      <c r="M23" s="294"/>
      <c r="N23" s="295"/>
      <c r="O23" s="296"/>
    </row>
    <row r="24" spans="2:15">
      <c r="B24" s="292"/>
      <c r="C24" s="298"/>
      <c r="E24" s="433"/>
      <c r="F24" s="433"/>
      <c r="G24" s="296"/>
      <c r="J24" s="292"/>
      <c r="K24" s="298"/>
      <c r="M24" s="433"/>
      <c r="N24" s="433"/>
      <c r="O24" s="296"/>
    </row>
    <row r="25" spans="2:15">
      <c r="B25" s="292"/>
      <c r="C25" s="299" t="s">
        <v>209</v>
      </c>
      <c r="D25" s="300"/>
      <c r="E25" s="435" t="s">
        <v>207</v>
      </c>
      <c r="F25" s="435"/>
      <c r="G25" s="296"/>
      <c r="J25" s="292"/>
      <c r="K25" s="299" t="s">
        <v>209</v>
      </c>
      <c r="L25" s="300"/>
      <c r="M25" s="435" t="s">
        <v>207</v>
      </c>
      <c r="N25" s="435"/>
      <c r="O25" s="296"/>
    </row>
    <row r="26" spans="2:15">
      <c r="B26" s="292"/>
      <c r="G26" s="296"/>
      <c r="J26" s="292"/>
      <c r="O26" s="296"/>
    </row>
    <row r="27" spans="2:15">
      <c r="B27" s="292"/>
      <c r="G27" s="296"/>
      <c r="J27" s="292"/>
      <c r="O27" s="296"/>
    </row>
    <row r="28" spans="2:15">
      <c r="B28" s="292"/>
      <c r="G28" s="296"/>
      <c r="J28" s="292"/>
      <c r="O28" s="296"/>
    </row>
    <row r="29" spans="2:15">
      <c r="B29" s="292"/>
      <c r="G29" s="296"/>
      <c r="J29" s="292"/>
      <c r="O29" s="296"/>
    </row>
    <row r="30" spans="2:15">
      <c r="B30" s="292"/>
      <c r="G30" s="296"/>
      <c r="J30" s="292"/>
      <c r="O30" s="296"/>
    </row>
    <row r="31" spans="2:15">
      <c r="B31" s="292"/>
      <c r="G31" s="296"/>
      <c r="J31" s="292"/>
      <c r="O31" s="296"/>
    </row>
    <row r="32" spans="2:15">
      <c r="B32" s="292"/>
      <c r="C32" s="301"/>
      <c r="D32" s="302"/>
      <c r="E32" s="433"/>
      <c r="F32" s="433"/>
      <c r="G32" s="296"/>
      <c r="J32" s="292"/>
      <c r="K32" s="301"/>
      <c r="L32" s="302"/>
      <c r="M32" s="433"/>
      <c r="N32" s="433"/>
      <c r="O32" s="296"/>
    </row>
    <row r="33" spans="2:15">
      <c r="B33" s="292"/>
      <c r="C33" s="299" t="s">
        <v>208</v>
      </c>
      <c r="D33" s="292"/>
      <c r="E33" s="436" t="s">
        <v>175</v>
      </c>
      <c r="F33" s="436"/>
      <c r="G33" s="296"/>
      <c r="J33" s="292"/>
      <c r="K33" s="299" t="s">
        <v>208</v>
      </c>
      <c r="L33" s="292"/>
      <c r="M33" s="436" t="s">
        <v>175</v>
      </c>
      <c r="N33" s="436"/>
      <c r="O33" s="296"/>
    </row>
    <row r="34" spans="2:15">
      <c r="B34" s="292"/>
      <c r="C34" s="293"/>
      <c r="D34" s="292"/>
      <c r="E34" s="294"/>
      <c r="F34" s="295"/>
      <c r="G34" s="296"/>
      <c r="J34" s="292"/>
      <c r="K34" s="293"/>
      <c r="L34" s="292"/>
      <c r="M34" s="294"/>
      <c r="N34" s="295"/>
      <c r="O34" s="296"/>
    </row>
    <row r="35" spans="2:15">
      <c r="B35" s="292"/>
      <c r="C35" s="293"/>
      <c r="D35" s="292"/>
      <c r="E35" s="294"/>
      <c r="F35" s="295"/>
      <c r="G35" s="296"/>
      <c r="J35" s="292"/>
      <c r="K35" s="293"/>
      <c r="L35" s="292"/>
      <c r="M35" s="294"/>
      <c r="N35" s="295"/>
      <c r="O35" s="296"/>
    </row>
    <row r="36" spans="2:15">
      <c r="B36" s="292"/>
      <c r="C36" s="293"/>
      <c r="D36" s="292"/>
      <c r="E36" s="294"/>
      <c r="F36" s="295"/>
      <c r="G36" s="296"/>
      <c r="J36" s="292"/>
      <c r="K36" s="293"/>
      <c r="L36" s="292"/>
      <c r="M36" s="294"/>
      <c r="N36" s="295"/>
      <c r="O36" s="296"/>
    </row>
    <row r="37" spans="2:15">
      <c r="B37" s="430" t="s">
        <v>206</v>
      </c>
      <c r="C37" s="430"/>
      <c r="D37" s="430"/>
      <c r="E37" s="430"/>
      <c r="F37" s="430"/>
      <c r="G37" s="430"/>
      <c r="J37" s="430" t="s">
        <v>206</v>
      </c>
      <c r="K37" s="430"/>
      <c r="L37" s="430"/>
      <c r="M37" s="430"/>
      <c r="N37" s="430"/>
      <c r="O37" s="430"/>
    </row>
    <row r="38" spans="2:15">
      <c r="B38" s="286" t="s">
        <v>167</v>
      </c>
      <c r="C38" s="286" t="s">
        <v>169</v>
      </c>
      <c r="D38" s="286" t="s">
        <v>170</v>
      </c>
      <c r="E38" s="286" t="s">
        <v>174</v>
      </c>
      <c r="F38" s="286" t="s">
        <v>171</v>
      </c>
      <c r="G38" s="286" t="s">
        <v>168</v>
      </c>
      <c r="J38" s="286" t="s">
        <v>167</v>
      </c>
      <c r="K38" s="286" t="s">
        <v>169</v>
      </c>
      <c r="L38" s="286" t="s">
        <v>170</v>
      </c>
      <c r="M38" s="286" t="s">
        <v>174</v>
      </c>
      <c r="N38" s="286" t="s">
        <v>171</v>
      </c>
      <c r="O38" s="286" t="s">
        <v>168</v>
      </c>
    </row>
    <row r="39" spans="2:15" ht="63">
      <c r="B39" s="287">
        <v>1</v>
      </c>
      <c r="C39" s="288" t="s">
        <v>329</v>
      </c>
      <c r="D39" s="287">
        <v>33649777</v>
      </c>
      <c r="E39" s="289"/>
      <c r="F39" s="290" t="s">
        <v>173</v>
      </c>
      <c r="G39" s="291">
        <v>19600</v>
      </c>
      <c r="J39" s="287">
        <v>1</v>
      </c>
      <c r="K39" s="288" t="s">
        <v>344</v>
      </c>
      <c r="L39" s="287">
        <v>33649793</v>
      </c>
      <c r="M39" s="289"/>
      <c r="N39" s="290" t="s">
        <v>173</v>
      </c>
      <c r="O39" s="291">
        <v>19600</v>
      </c>
    </row>
    <row r="40" spans="2:15" ht="63">
      <c r="B40" s="287">
        <v>2</v>
      </c>
      <c r="C40" s="288" t="s">
        <v>330</v>
      </c>
      <c r="D40" s="287">
        <v>33649778</v>
      </c>
      <c r="E40" s="289"/>
      <c r="F40" s="290" t="s">
        <v>173</v>
      </c>
      <c r="G40" s="291">
        <v>19200</v>
      </c>
      <c r="J40" s="287">
        <v>2</v>
      </c>
      <c r="K40" s="288" t="s">
        <v>343</v>
      </c>
      <c r="L40" s="287">
        <v>33649794</v>
      </c>
      <c r="M40" s="289"/>
      <c r="N40" s="290" t="s">
        <v>173</v>
      </c>
      <c r="O40" s="291">
        <v>19200</v>
      </c>
    </row>
    <row r="41" spans="2:15" ht="63">
      <c r="B41" s="287">
        <v>3</v>
      </c>
      <c r="C41" s="288" t="s">
        <v>331</v>
      </c>
      <c r="D41" s="287">
        <v>33649800</v>
      </c>
      <c r="E41" s="289"/>
      <c r="F41" s="290" t="s">
        <v>173</v>
      </c>
      <c r="G41" s="291">
        <v>19200</v>
      </c>
      <c r="J41" s="287">
        <v>3</v>
      </c>
      <c r="K41" s="288" t="s">
        <v>342</v>
      </c>
      <c r="L41" s="287">
        <v>33649801</v>
      </c>
      <c r="M41" s="289"/>
      <c r="N41" s="290" t="s">
        <v>173</v>
      </c>
      <c r="O41" s="291">
        <v>19200</v>
      </c>
    </row>
    <row r="42" spans="2:15" ht="63">
      <c r="B42" s="287">
        <v>4</v>
      </c>
      <c r="C42" s="288" t="s">
        <v>332</v>
      </c>
      <c r="D42" s="287">
        <v>33649780</v>
      </c>
      <c r="E42" s="289"/>
      <c r="F42" s="290" t="s">
        <v>173</v>
      </c>
      <c r="G42" s="291">
        <v>19200</v>
      </c>
      <c r="J42" s="287">
        <v>4</v>
      </c>
      <c r="K42" s="288" t="s">
        <v>341</v>
      </c>
      <c r="L42" s="287">
        <v>33649795</v>
      </c>
      <c r="M42" s="289"/>
      <c r="N42" s="290" t="s">
        <v>173</v>
      </c>
      <c r="O42" s="291">
        <v>19200</v>
      </c>
    </row>
    <row r="43" spans="2:15" ht="63">
      <c r="B43" s="287">
        <v>5</v>
      </c>
      <c r="C43" s="288" t="s">
        <v>333</v>
      </c>
      <c r="D43" s="287">
        <v>33649781</v>
      </c>
      <c r="E43" s="289"/>
      <c r="F43" s="290" t="s">
        <v>173</v>
      </c>
      <c r="G43" s="291">
        <v>29400</v>
      </c>
      <c r="J43" s="287">
        <v>5</v>
      </c>
      <c r="K43" s="288" t="s">
        <v>340</v>
      </c>
      <c r="L43" s="287">
        <v>33649796</v>
      </c>
      <c r="M43" s="289"/>
      <c r="N43" s="290" t="s">
        <v>173</v>
      </c>
      <c r="O43" s="291">
        <v>29400</v>
      </c>
    </row>
    <row r="44" spans="2:15" ht="63">
      <c r="B44" s="287">
        <v>6</v>
      </c>
      <c r="C44" s="288" t="s">
        <v>334</v>
      </c>
      <c r="D44" s="287">
        <v>33649782</v>
      </c>
      <c r="E44" s="289"/>
      <c r="F44" s="290" t="s">
        <v>173</v>
      </c>
      <c r="G44" s="291">
        <v>19800</v>
      </c>
      <c r="J44" s="287">
        <v>6</v>
      </c>
      <c r="K44" s="288" t="s">
        <v>339</v>
      </c>
      <c r="L44" s="287">
        <v>33649797</v>
      </c>
      <c r="M44" s="289"/>
      <c r="N44" s="290" t="s">
        <v>173</v>
      </c>
      <c r="O44" s="291">
        <v>19800</v>
      </c>
    </row>
    <row r="45" spans="2:15" ht="63">
      <c r="B45" s="287">
        <v>7</v>
      </c>
      <c r="C45" s="288" t="s">
        <v>335</v>
      </c>
      <c r="D45" s="287">
        <v>33649783</v>
      </c>
      <c r="E45" s="289"/>
      <c r="F45" s="290" t="s">
        <v>173</v>
      </c>
      <c r="G45" s="291">
        <v>28800</v>
      </c>
      <c r="J45" s="287">
        <v>7</v>
      </c>
      <c r="K45" s="288" t="s">
        <v>338</v>
      </c>
      <c r="L45" s="287">
        <v>33649798</v>
      </c>
      <c r="M45" s="289"/>
      <c r="N45" s="290" t="s">
        <v>173</v>
      </c>
      <c r="O45" s="291">
        <v>28800</v>
      </c>
    </row>
    <row r="46" spans="2:15" ht="63">
      <c r="B46" s="287">
        <v>8</v>
      </c>
      <c r="C46" s="288" t="s">
        <v>336</v>
      </c>
      <c r="D46" s="287">
        <v>33649784</v>
      </c>
      <c r="E46" s="289"/>
      <c r="F46" s="290" t="s">
        <v>173</v>
      </c>
      <c r="G46" s="291">
        <v>28800</v>
      </c>
      <c r="J46" s="287">
        <v>8</v>
      </c>
      <c r="K46" s="288" t="s">
        <v>337</v>
      </c>
      <c r="L46" s="287">
        <v>33649799</v>
      </c>
      <c r="M46" s="289"/>
      <c r="N46" s="290" t="s">
        <v>173</v>
      </c>
      <c r="O46" s="291">
        <v>28800</v>
      </c>
    </row>
    <row r="47" spans="2:15">
      <c r="B47" s="292"/>
      <c r="C47" s="293"/>
      <c r="D47" s="292"/>
      <c r="E47" s="294"/>
      <c r="F47" s="295"/>
      <c r="G47" s="296"/>
      <c r="J47" s="292"/>
      <c r="K47" s="293"/>
      <c r="L47" s="292"/>
      <c r="M47" s="294"/>
      <c r="N47" s="295"/>
      <c r="O47" s="296"/>
    </row>
    <row r="48" spans="2:15">
      <c r="B48" s="430" t="s">
        <v>172</v>
      </c>
      <c r="C48" s="430"/>
      <c r="D48" s="430"/>
      <c r="E48" s="430"/>
      <c r="F48" s="430"/>
      <c r="G48" s="303">
        <f>SUM(G39:G46)</f>
        <v>184000</v>
      </c>
      <c r="J48" s="430" t="s">
        <v>172</v>
      </c>
      <c r="K48" s="430"/>
      <c r="L48" s="430"/>
      <c r="M48" s="430"/>
      <c r="N48" s="430"/>
      <c r="O48" s="303">
        <f>SUM(O39:O46)</f>
        <v>184000</v>
      </c>
    </row>
    <row r="57" spans="3:14">
      <c r="K57" s="298"/>
      <c r="M57" s="433"/>
      <c r="N57" s="433"/>
    </row>
    <row r="58" spans="3:14">
      <c r="C58" s="304" t="s">
        <v>273</v>
      </c>
      <c r="E58" s="302" t="s">
        <v>319</v>
      </c>
      <c r="F58" s="302"/>
      <c r="G58" s="305"/>
      <c r="K58" s="299" t="s">
        <v>209</v>
      </c>
      <c r="L58" s="300"/>
      <c r="M58" s="435" t="s">
        <v>207</v>
      </c>
      <c r="N58" s="435"/>
    </row>
    <row r="59" spans="3:14">
      <c r="C59" s="306" t="s">
        <v>209</v>
      </c>
      <c r="D59" s="307"/>
      <c r="E59" s="431" t="s">
        <v>207</v>
      </c>
      <c r="F59" s="431"/>
      <c r="G59" s="431"/>
    </row>
    <row r="65" spans="2:14">
      <c r="K65" s="301"/>
      <c r="L65" s="302"/>
      <c r="M65" s="433"/>
      <c r="N65" s="433"/>
    </row>
    <row r="66" spans="2:14">
      <c r="C66" s="304" t="s">
        <v>273</v>
      </c>
      <c r="D66" s="302"/>
      <c r="E66" s="302" t="s">
        <v>319</v>
      </c>
      <c r="F66" s="302"/>
      <c r="G66" s="305"/>
      <c r="K66" s="299" t="s">
        <v>208</v>
      </c>
      <c r="L66" s="292"/>
      <c r="M66" s="436" t="s">
        <v>175</v>
      </c>
      <c r="N66" s="436"/>
    </row>
    <row r="67" spans="2:14">
      <c r="C67" s="306" t="s">
        <v>208</v>
      </c>
      <c r="D67" s="292"/>
      <c r="E67" s="432" t="s">
        <v>175</v>
      </c>
      <c r="F67" s="432"/>
      <c r="K67" s="293"/>
      <c r="L67" s="292"/>
      <c r="M67" s="294"/>
      <c r="N67" s="295"/>
    </row>
    <row r="73" spans="2:14">
      <c r="B73" s="430" t="s">
        <v>206</v>
      </c>
      <c r="C73" s="430"/>
      <c r="D73" s="430"/>
      <c r="E73" s="430"/>
      <c r="F73" s="430"/>
      <c r="G73" s="430"/>
    </row>
    <row r="74" spans="2:14">
      <c r="B74" s="286" t="s">
        <v>167</v>
      </c>
      <c r="C74" s="286" t="s">
        <v>169</v>
      </c>
      <c r="D74" s="286" t="s">
        <v>170</v>
      </c>
      <c r="E74" s="286" t="s">
        <v>174</v>
      </c>
      <c r="F74" s="286" t="s">
        <v>171</v>
      </c>
      <c r="G74" s="286" t="s">
        <v>168</v>
      </c>
    </row>
    <row r="75" spans="2:14" ht="63">
      <c r="B75" s="309">
        <v>1</v>
      </c>
      <c r="C75" s="288" t="s">
        <v>355</v>
      </c>
      <c r="D75" s="309"/>
      <c r="E75" s="308"/>
      <c r="F75" s="290" t="s">
        <v>173</v>
      </c>
      <c r="G75" s="291">
        <v>19600</v>
      </c>
    </row>
    <row r="76" spans="2:14" ht="63">
      <c r="B76" s="309">
        <v>2</v>
      </c>
      <c r="C76" s="288" t="s">
        <v>356</v>
      </c>
      <c r="D76" s="309"/>
      <c r="E76" s="308"/>
      <c r="F76" s="290" t="s">
        <v>173</v>
      </c>
      <c r="G76" s="291">
        <v>19200</v>
      </c>
    </row>
    <row r="85" spans="2:6">
      <c r="B85" s="304" t="s">
        <v>273</v>
      </c>
      <c r="D85" s="302" t="s">
        <v>319</v>
      </c>
      <c r="E85" s="302"/>
      <c r="F85" s="305"/>
    </row>
    <row r="86" spans="2:6">
      <c r="B86" s="311" t="s">
        <v>209</v>
      </c>
      <c r="C86" s="307"/>
      <c r="D86" s="431" t="s">
        <v>207</v>
      </c>
      <c r="E86" s="431"/>
      <c r="F86" s="431"/>
    </row>
    <row r="93" spans="2:6">
      <c r="B93" s="304" t="s">
        <v>273</v>
      </c>
      <c r="C93" s="302"/>
      <c r="D93" s="302" t="s">
        <v>319</v>
      </c>
      <c r="E93" s="302"/>
      <c r="F93" s="305"/>
    </row>
    <row r="94" spans="2:6">
      <c r="B94" s="311" t="s">
        <v>208</v>
      </c>
      <c r="C94" s="310"/>
      <c r="D94" s="432" t="s">
        <v>175</v>
      </c>
      <c r="E94" s="432"/>
    </row>
  </sheetData>
  <mergeCells count="27">
    <mergeCell ref="M65:N65"/>
    <mergeCell ref="M66:N66"/>
    <mergeCell ref="M32:N32"/>
    <mergeCell ref="M33:N33"/>
    <mergeCell ref="J37:O37"/>
    <mergeCell ref="J48:N48"/>
    <mergeCell ref="M57:N57"/>
    <mergeCell ref="M58:N58"/>
    <mergeCell ref="J4:O4"/>
    <mergeCell ref="J16:N16"/>
    <mergeCell ref="L17:O17"/>
    <mergeCell ref="M24:N24"/>
    <mergeCell ref="M25:N25"/>
    <mergeCell ref="B73:G73"/>
    <mergeCell ref="D86:F86"/>
    <mergeCell ref="D94:E94"/>
    <mergeCell ref="E32:F32"/>
    <mergeCell ref="B4:G4"/>
    <mergeCell ref="B16:F16"/>
    <mergeCell ref="D17:G17"/>
    <mergeCell ref="E24:F24"/>
    <mergeCell ref="E25:F25"/>
    <mergeCell ref="E33:F33"/>
    <mergeCell ref="B37:G37"/>
    <mergeCell ref="B48:F48"/>
    <mergeCell ref="E59:G59"/>
    <mergeCell ref="E67:F67"/>
  </mergeCells>
  <pageMargins left="0.25" right="0.25" top="0.75" bottom="0.75" header="0.3" footer="0.3"/>
  <pageSetup paperSize="9" scale="8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O282"/>
  <sheetViews>
    <sheetView workbookViewId="0">
      <selection activeCell="B241" sqref="B241:G241"/>
    </sheetView>
  </sheetViews>
  <sheetFormatPr defaultRowHeight="15"/>
  <cols>
    <col min="2" max="2" width="7.140625" bestFit="1" customWidth="1"/>
    <col min="3" max="3" width="55.140625" bestFit="1" customWidth="1"/>
    <col min="4" max="4" width="13.5703125" bestFit="1" customWidth="1"/>
    <col min="5" max="5" width="15.5703125" bestFit="1" customWidth="1"/>
    <col min="6" max="6" width="14.85546875" bestFit="1" customWidth="1"/>
    <col min="7" max="7" width="11" bestFit="1" customWidth="1"/>
    <col min="10" max="10" width="7.140625" bestFit="1" customWidth="1"/>
    <col min="11" max="11" width="55.140625" bestFit="1" customWidth="1"/>
    <col min="12" max="12" width="13.5703125" bestFit="1" customWidth="1"/>
    <col min="13" max="13" width="15.5703125" bestFit="1" customWidth="1"/>
    <col min="14" max="14" width="14.85546875" bestFit="1" customWidth="1"/>
    <col min="15" max="15" width="11" bestFit="1" customWidth="1"/>
  </cols>
  <sheetData>
    <row r="4" spans="2:15" ht="15.75">
      <c r="J4" s="430" t="s">
        <v>206</v>
      </c>
      <c r="K4" s="430"/>
      <c r="L4" s="430"/>
      <c r="M4" s="430"/>
      <c r="N4" s="430"/>
      <c r="O4" s="430"/>
    </row>
    <row r="5" spans="2:15" ht="15.75">
      <c r="J5" s="286" t="s">
        <v>167</v>
      </c>
      <c r="K5" s="286" t="s">
        <v>169</v>
      </c>
      <c r="L5" s="286" t="s">
        <v>170</v>
      </c>
      <c r="M5" s="286" t="s">
        <v>174</v>
      </c>
      <c r="N5" s="286" t="s">
        <v>171</v>
      </c>
      <c r="O5" s="286" t="s">
        <v>168</v>
      </c>
    </row>
    <row r="6" spans="2:15" ht="63">
      <c r="J6" s="364">
        <v>1</v>
      </c>
      <c r="K6" s="288" t="s">
        <v>476</v>
      </c>
      <c r="L6" s="364">
        <v>33649802</v>
      </c>
      <c r="M6" s="365"/>
      <c r="N6" s="290" t="s">
        <v>173</v>
      </c>
      <c r="O6" s="291">
        <v>14400</v>
      </c>
    </row>
    <row r="7" spans="2:15" ht="63">
      <c r="J7" s="364">
        <v>2</v>
      </c>
      <c r="K7" s="288" t="s">
        <v>477</v>
      </c>
      <c r="L7" s="364">
        <v>33649812</v>
      </c>
      <c r="M7" s="365"/>
      <c r="N7" s="290" t="s">
        <v>173</v>
      </c>
      <c r="O7" s="291">
        <v>9600</v>
      </c>
    </row>
    <row r="8" spans="2:15" ht="63">
      <c r="J8" s="364">
        <v>3</v>
      </c>
      <c r="K8" s="288" t="s">
        <v>478</v>
      </c>
      <c r="L8" s="364">
        <v>33649813</v>
      </c>
      <c r="M8" s="365"/>
      <c r="N8" s="290" t="s">
        <v>173</v>
      </c>
      <c r="O8" s="291">
        <v>9600</v>
      </c>
    </row>
    <row r="9" spans="2:15" ht="63">
      <c r="J9" s="364">
        <v>4</v>
      </c>
      <c r="K9" s="288" t="s">
        <v>479</v>
      </c>
      <c r="L9" s="364">
        <v>33649814</v>
      </c>
      <c r="M9" s="365"/>
      <c r="N9" s="290" t="s">
        <v>173</v>
      </c>
      <c r="O9" s="291">
        <v>9600</v>
      </c>
    </row>
    <row r="10" spans="2:15" ht="63">
      <c r="J10" s="364">
        <v>5</v>
      </c>
      <c r="K10" s="288" t="s">
        <v>480</v>
      </c>
      <c r="L10" s="364">
        <v>33649815</v>
      </c>
      <c r="M10" s="365"/>
      <c r="N10" s="290" t="s">
        <v>173</v>
      </c>
      <c r="O10" s="291">
        <v>11800</v>
      </c>
    </row>
    <row r="11" spans="2:15" ht="63">
      <c r="J11" s="364">
        <v>6</v>
      </c>
      <c r="K11" s="288" t="s">
        <v>481</v>
      </c>
      <c r="L11" s="364">
        <v>33649816</v>
      </c>
      <c r="M11" s="365"/>
      <c r="N11" s="290" t="s">
        <v>173</v>
      </c>
      <c r="O11" s="291">
        <v>11800</v>
      </c>
    </row>
    <row r="12" spans="2:15" ht="63">
      <c r="J12" s="364">
        <v>7</v>
      </c>
      <c r="K12" s="288" t="s">
        <v>482</v>
      </c>
      <c r="L12" s="364">
        <v>33649817</v>
      </c>
      <c r="M12" s="365"/>
      <c r="N12" s="290" t="s">
        <v>173</v>
      </c>
      <c r="O12" s="291">
        <v>9600</v>
      </c>
    </row>
    <row r="13" spans="2:15" ht="63">
      <c r="J13" s="364">
        <v>8</v>
      </c>
      <c r="K13" s="288" t="s">
        <v>483</v>
      </c>
      <c r="L13" s="364">
        <v>33649818</v>
      </c>
      <c r="M13" s="365"/>
      <c r="N13" s="290" t="s">
        <v>173</v>
      </c>
      <c r="O13" s="291">
        <v>9600</v>
      </c>
    </row>
    <row r="14" spans="2:15" ht="63">
      <c r="J14" s="364">
        <v>9</v>
      </c>
      <c r="K14" s="288" t="s">
        <v>484</v>
      </c>
      <c r="L14" s="364">
        <v>33649804</v>
      </c>
      <c r="M14" s="365"/>
      <c r="N14" s="290" t="s">
        <v>173</v>
      </c>
      <c r="O14" s="291">
        <v>19600</v>
      </c>
    </row>
    <row r="15" spans="2:15" ht="15.75">
      <c r="B15" s="367"/>
      <c r="C15" s="293"/>
      <c r="D15" s="367"/>
      <c r="E15" s="294"/>
      <c r="F15" s="295"/>
      <c r="G15" s="296"/>
      <c r="J15" s="367"/>
      <c r="K15" s="293"/>
      <c r="L15" s="367"/>
      <c r="M15" s="294"/>
      <c r="N15" s="295"/>
      <c r="O15" s="296"/>
    </row>
    <row r="16" spans="2:15" ht="15.75">
      <c r="B16" s="421" t="s">
        <v>172</v>
      </c>
      <c r="C16" s="421"/>
      <c r="D16" s="421"/>
      <c r="E16" s="421"/>
      <c r="F16" s="421"/>
      <c r="G16" s="297">
        <f ca="1">SUM(G6:G102)</f>
        <v>91200</v>
      </c>
      <c r="J16" s="421" t="s">
        <v>172</v>
      </c>
      <c r="K16" s="421"/>
      <c r="L16" s="421"/>
      <c r="M16" s="421"/>
      <c r="N16" s="421"/>
      <c r="O16" s="297">
        <f>SUM(O6:O14)</f>
        <v>105600</v>
      </c>
    </row>
    <row r="17" spans="2:15" ht="15.75">
      <c r="B17" s="367"/>
      <c r="C17" s="293"/>
      <c r="D17" s="434"/>
      <c r="E17" s="432"/>
      <c r="F17" s="432"/>
      <c r="G17" s="432"/>
      <c r="J17" s="367"/>
      <c r="K17" s="293"/>
      <c r="L17" s="434"/>
      <c r="M17" s="432"/>
      <c r="N17" s="432"/>
      <c r="O17" s="432"/>
    </row>
    <row r="18" spans="2:15" ht="15.75">
      <c r="B18" s="367"/>
      <c r="C18" s="293"/>
      <c r="D18" s="367"/>
      <c r="E18" s="294"/>
      <c r="F18" s="295"/>
      <c r="G18" s="296"/>
      <c r="J18" s="367"/>
      <c r="K18" s="293"/>
      <c r="L18" s="367"/>
      <c r="M18" s="294"/>
      <c r="N18" s="295"/>
      <c r="O18" s="296"/>
    </row>
    <row r="19" spans="2:15" ht="15.75">
      <c r="B19" s="367"/>
      <c r="C19" s="293"/>
      <c r="D19" s="367"/>
      <c r="E19" s="294"/>
      <c r="F19" s="295"/>
      <c r="G19" s="296"/>
      <c r="J19" s="367"/>
      <c r="K19" s="293"/>
      <c r="L19" s="367"/>
      <c r="M19" s="294"/>
      <c r="N19" s="295"/>
      <c r="O19" s="296"/>
    </row>
    <row r="20" spans="2:15" ht="15.75">
      <c r="B20" s="367"/>
      <c r="C20" s="293"/>
      <c r="D20" s="367"/>
      <c r="E20" s="294"/>
      <c r="F20" s="295"/>
      <c r="G20" s="296"/>
      <c r="J20" s="367"/>
      <c r="K20" s="293"/>
      <c r="L20" s="367"/>
      <c r="M20" s="294"/>
      <c r="N20" s="295"/>
      <c r="O20" s="296"/>
    </row>
    <row r="21" spans="2:15" ht="15.75">
      <c r="B21" s="367"/>
      <c r="C21" s="293"/>
      <c r="D21" s="367"/>
      <c r="E21" s="294"/>
      <c r="F21" s="295"/>
      <c r="G21" s="296"/>
      <c r="J21" s="367"/>
      <c r="K21" s="293"/>
      <c r="L21" s="367"/>
      <c r="M21" s="294"/>
      <c r="N21" s="295"/>
      <c r="O21" s="296"/>
    </row>
    <row r="22" spans="2:15" ht="15.75">
      <c r="B22" s="367"/>
      <c r="C22" s="293"/>
      <c r="D22" s="367"/>
      <c r="E22" s="294"/>
      <c r="F22" s="295"/>
      <c r="G22" s="296"/>
      <c r="J22" s="367"/>
      <c r="K22" s="293"/>
      <c r="L22" s="367"/>
      <c r="M22" s="294"/>
      <c r="N22" s="295"/>
      <c r="O22" s="296"/>
    </row>
    <row r="23" spans="2:15" ht="15.75">
      <c r="B23" s="367"/>
      <c r="C23" s="293"/>
      <c r="D23" s="367"/>
      <c r="E23" s="294"/>
      <c r="F23" s="295"/>
      <c r="G23" s="296"/>
      <c r="J23" s="367"/>
      <c r="K23" s="293"/>
      <c r="L23" s="367"/>
      <c r="M23" s="294"/>
      <c r="N23" s="295"/>
      <c r="O23" s="296"/>
    </row>
    <row r="24" spans="2:15" ht="15.75">
      <c r="B24" s="367"/>
      <c r="C24" s="298"/>
      <c r="D24" s="285"/>
      <c r="E24" s="433"/>
      <c r="F24" s="433"/>
      <c r="G24" s="296"/>
      <c r="J24" s="367"/>
      <c r="K24" s="298"/>
      <c r="L24" s="285"/>
      <c r="M24" s="433"/>
      <c r="N24" s="433"/>
      <c r="O24" s="296"/>
    </row>
    <row r="25" spans="2:15" ht="15.75">
      <c r="B25" s="367"/>
      <c r="C25" s="299" t="s">
        <v>209</v>
      </c>
      <c r="D25" s="300"/>
      <c r="E25" s="435" t="s">
        <v>207</v>
      </c>
      <c r="F25" s="435"/>
      <c r="G25" s="296"/>
      <c r="J25" s="367"/>
      <c r="K25" s="299" t="s">
        <v>209</v>
      </c>
      <c r="L25" s="300"/>
      <c r="M25" s="435" t="s">
        <v>207</v>
      </c>
      <c r="N25" s="435"/>
      <c r="O25" s="296"/>
    </row>
    <row r="26" spans="2:15" ht="15.75">
      <c r="B26" s="367"/>
      <c r="C26" s="285"/>
      <c r="D26" s="285"/>
      <c r="E26" s="285"/>
      <c r="F26" s="285"/>
      <c r="G26" s="296"/>
      <c r="J26" s="367"/>
      <c r="K26" s="285"/>
      <c r="L26" s="285"/>
      <c r="M26" s="285"/>
      <c r="N26" s="285"/>
      <c r="O26" s="296"/>
    </row>
    <row r="27" spans="2:15" ht="15.75">
      <c r="B27" s="367"/>
      <c r="C27" s="285"/>
      <c r="D27" s="285"/>
      <c r="E27" s="285"/>
      <c r="F27" s="285"/>
      <c r="G27" s="296"/>
      <c r="J27" s="367"/>
      <c r="K27" s="285"/>
      <c r="L27" s="285"/>
      <c r="M27" s="285"/>
      <c r="N27" s="285"/>
      <c r="O27" s="296"/>
    </row>
    <row r="28" spans="2:15" ht="15.75">
      <c r="B28" s="367"/>
      <c r="C28" s="285"/>
      <c r="D28" s="285"/>
      <c r="E28" s="285"/>
      <c r="F28" s="285"/>
      <c r="G28" s="296"/>
      <c r="J28" s="367"/>
      <c r="K28" s="285"/>
      <c r="L28" s="285"/>
      <c r="M28" s="285"/>
      <c r="N28" s="285"/>
      <c r="O28" s="296"/>
    </row>
    <row r="29" spans="2:15" ht="15.75">
      <c r="B29" s="367"/>
      <c r="C29" s="285"/>
      <c r="D29" s="285"/>
      <c r="E29" s="285"/>
      <c r="F29" s="285"/>
      <c r="G29" s="296"/>
      <c r="J29" s="367"/>
      <c r="K29" s="285"/>
      <c r="L29" s="285"/>
      <c r="M29" s="285"/>
      <c r="N29" s="285"/>
      <c r="O29" s="296"/>
    </row>
    <row r="30" spans="2:15" ht="15.75">
      <c r="B30" s="367"/>
      <c r="C30" s="285"/>
      <c r="D30" s="285"/>
      <c r="E30" s="285"/>
      <c r="F30" s="285"/>
      <c r="G30" s="296"/>
      <c r="J30" s="367"/>
      <c r="K30" s="285"/>
      <c r="L30" s="285"/>
      <c r="M30" s="285"/>
      <c r="N30" s="285"/>
      <c r="O30" s="296"/>
    </row>
    <row r="31" spans="2:15" ht="15.75">
      <c r="B31" s="367"/>
      <c r="C31" s="285"/>
      <c r="D31" s="285"/>
      <c r="E31" s="285"/>
      <c r="F31" s="285"/>
      <c r="G31" s="296"/>
      <c r="J31" s="367"/>
      <c r="K31" s="285"/>
      <c r="L31" s="285"/>
      <c r="M31" s="285"/>
      <c r="N31" s="285"/>
      <c r="O31" s="296"/>
    </row>
    <row r="32" spans="2:15" ht="15.75">
      <c r="B32" s="367"/>
      <c r="C32" s="301"/>
      <c r="D32" s="302"/>
      <c r="E32" s="433"/>
      <c r="F32" s="433"/>
      <c r="G32" s="296"/>
      <c r="J32" s="367"/>
      <c r="K32" s="301"/>
      <c r="L32" s="302"/>
      <c r="M32" s="433"/>
      <c r="N32" s="433"/>
      <c r="O32" s="296"/>
    </row>
    <row r="33" spans="2:15" ht="15.75">
      <c r="B33" s="367"/>
      <c r="C33" s="299" t="s">
        <v>208</v>
      </c>
      <c r="D33" s="367"/>
      <c r="E33" s="436" t="s">
        <v>175</v>
      </c>
      <c r="F33" s="436"/>
      <c r="G33" s="296"/>
      <c r="J33" s="367"/>
      <c r="K33" s="299" t="s">
        <v>208</v>
      </c>
      <c r="L33" s="367"/>
      <c r="M33" s="436" t="s">
        <v>175</v>
      </c>
      <c r="N33" s="436"/>
      <c r="O33" s="296"/>
    </row>
    <row r="34" spans="2:15" ht="15.75">
      <c r="B34" s="367"/>
      <c r="C34" s="293"/>
      <c r="D34" s="367"/>
      <c r="E34" s="294"/>
      <c r="F34" s="295"/>
      <c r="G34" s="296"/>
      <c r="J34" s="367"/>
      <c r="K34" s="293"/>
      <c r="L34" s="367"/>
      <c r="M34" s="294"/>
      <c r="N34" s="295"/>
      <c r="O34" s="296"/>
    </row>
    <row r="35" spans="2:15" ht="15.75">
      <c r="B35" s="367"/>
      <c r="C35" s="293"/>
      <c r="D35" s="367"/>
      <c r="E35" s="294"/>
      <c r="F35" s="295"/>
      <c r="G35" s="296"/>
      <c r="J35" s="367"/>
      <c r="K35" s="293"/>
      <c r="L35" s="367"/>
      <c r="M35" s="294"/>
      <c r="N35" s="295"/>
      <c r="O35" s="296"/>
    </row>
    <row r="36" spans="2:15" ht="15.75">
      <c r="B36" s="367"/>
      <c r="C36" s="293"/>
      <c r="D36" s="367"/>
      <c r="E36" s="294"/>
      <c r="F36" s="295"/>
      <c r="G36" s="296"/>
      <c r="J36" s="367"/>
      <c r="K36" s="293"/>
      <c r="L36" s="367"/>
      <c r="M36" s="294"/>
      <c r="N36" s="295"/>
      <c r="O36" s="296"/>
    </row>
    <row r="37" spans="2:15" ht="15.75">
      <c r="B37" s="430" t="s">
        <v>206</v>
      </c>
      <c r="C37" s="430"/>
      <c r="D37" s="430"/>
      <c r="E37" s="430"/>
      <c r="F37" s="430"/>
      <c r="G37" s="430"/>
      <c r="J37" s="430" t="s">
        <v>206</v>
      </c>
      <c r="K37" s="430"/>
      <c r="L37" s="430"/>
      <c r="M37" s="430"/>
      <c r="N37" s="430"/>
      <c r="O37" s="430"/>
    </row>
    <row r="38" spans="2:15" ht="15.75">
      <c r="B38" s="286" t="s">
        <v>167</v>
      </c>
      <c r="C38" s="286" t="s">
        <v>169</v>
      </c>
      <c r="D38" s="286" t="s">
        <v>170</v>
      </c>
      <c r="E38" s="286" t="s">
        <v>174</v>
      </c>
      <c r="F38" s="286" t="s">
        <v>171</v>
      </c>
      <c r="G38" s="286" t="s">
        <v>168</v>
      </c>
      <c r="J38" s="286" t="s">
        <v>167</v>
      </c>
      <c r="K38" s="286" t="s">
        <v>169</v>
      </c>
      <c r="L38" s="286" t="s">
        <v>170</v>
      </c>
      <c r="M38" s="286" t="s">
        <v>174</v>
      </c>
      <c r="N38" s="286" t="s">
        <v>171</v>
      </c>
      <c r="O38" s="286" t="s">
        <v>168</v>
      </c>
    </row>
    <row r="39" spans="2:15" ht="63">
      <c r="J39" s="364">
        <v>1</v>
      </c>
      <c r="K39" s="288" t="s">
        <v>485</v>
      </c>
      <c r="L39" s="364">
        <v>33649805</v>
      </c>
      <c r="M39" s="365"/>
      <c r="N39" s="290" t="s">
        <v>173</v>
      </c>
      <c r="O39" s="291">
        <v>19600</v>
      </c>
    </row>
    <row r="40" spans="2:15" ht="63">
      <c r="J40" s="364">
        <v>2</v>
      </c>
      <c r="K40" s="288" t="s">
        <v>486</v>
      </c>
      <c r="L40" s="364">
        <v>33649806</v>
      </c>
      <c r="M40" s="365"/>
      <c r="N40" s="290" t="s">
        <v>173</v>
      </c>
      <c r="O40" s="291">
        <v>19200</v>
      </c>
    </row>
    <row r="41" spans="2:15" ht="63">
      <c r="J41" s="364">
        <v>3</v>
      </c>
      <c r="K41" s="288" t="s">
        <v>487</v>
      </c>
      <c r="L41" s="364">
        <v>33649807</v>
      </c>
      <c r="M41" s="365"/>
      <c r="N41" s="290" t="s">
        <v>173</v>
      </c>
      <c r="O41" s="291">
        <v>19200</v>
      </c>
    </row>
    <row r="42" spans="2:15" ht="63">
      <c r="J42" s="364">
        <v>4</v>
      </c>
      <c r="K42" s="288" t="s">
        <v>488</v>
      </c>
      <c r="L42" s="364">
        <v>33649809</v>
      </c>
      <c r="M42" s="365"/>
      <c r="N42" s="290" t="s">
        <v>173</v>
      </c>
      <c r="O42" s="291">
        <v>19200</v>
      </c>
    </row>
    <row r="43" spans="2:15" ht="63">
      <c r="J43" s="364">
        <v>5</v>
      </c>
      <c r="K43" s="288" t="s">
        <v>489</v>
      </c>
      <c r="L43" s="364">
        <v>33649810</v>
      </c>
      <c r="M43" s="365"/>
      <c r="N43" s="290" t="s">
        <v>173</v>
      </c>
      <c r="O43" s="291">
        <v>29400</v>
      </c>
    </row>
    <row r="44" spans="2:15" ht="63">
      <c r="J44" s="364">
        <v>6</v>
      </c>
      <c r="K44" s="288" t="s">
        <v>490</v>
      </c>
      <c r="L44" s="364">
        <v>33649811</v>
      </c>
      <c r="M44" s="365"/>
      <c r="N44" s="290" t="s">
        <v>173</v>
      </c>
      <c r="O44" s="291">
        <v>19800</v>
      </c>
    </row>
    <row r="45" spans="2:15" ht="63">
      <c r="B45" s="364">
        <v>7</v>
      </c>
      <c r="C45" s="288" t="s">
        <v>491</v>
      </c>
      <c r="D45" s="364">
        <v>0</v>
      </c>
      <c r="E45" s="365"/>
      <c r="F45" s="290" t="s">
        <v>173</v>
      </c>
      <c r="G45" s="291">
        <v>28800</v>
      </c>
      <c r="J45" s="364">
        <v>7</v>
      </c>
      <c r="K45" s="288" t="s">
        <v>491</v>
      </c>
      <c r="L45" s="364">
        <v>0</v>
      </c>
      <c r="M45" s="365"/>
      <c r="N45" s="290" t="s">
        <v>173</v>
      </c>
      <c r="O45" s="291">
        <v>28800</v>
      </c>
    </row>
    <row r="46" spans="2:15" ht="63">
      <c r="B46" s="364">
        <v>8</v>
      </c>
      <c r="C46" s="288" t="s">
        <v>492</v>
      </c>
      <c r="D46" s="364">
        <v>0</v>
      </c>
      <c r="E46" s="365"/>
      <c r="F46" s="290" t="s">
        <v>173</v>
      </c>
      <c r="G46" s="291">
        <v>28800</v>
      </c>
      <c r="J46" s="364">
        <v>8</v>
      </c>
      <c r="K46" s="288" t="s">
        <v>492</v>
      </c>
      <c r="L46" s="364">
        <v>0</v>
      </c>
      <c r="M46" s="365"/>
      <c r="N46" s="290" t="s">
        <v>173</v>
      </c>
      <c r="O46" s="291">
        <v>28800</v>
      </c>
    </row>
    <row r="47" spans="2:15" ht="15.75">
      <c r="B47" s="367"/>
      <c r="C47" s="293"/>
      <c r="D47" s="367"/>
      <c r="E47" s="294"/>
      <c r="F47" s="295"/>
      <c r="G47" s="296"/>
      <c r="J47" s="367"/>
      <c r="K47" s="293"/>
      <c r="L47" s="367"/>
      <c r="M47" s="294"/>
      <c r="N47" s="295"/>
      <c r="O47" s="296"/>
    </row>
    <row r="48" spans="2:15" ht="15.75">
      <c r="B48" s="430" t="s">
        <v>172</v>
      </c>
      <c r="C48" s="430"/>
      <c r="D48" s="430"/>
      <c r="E48" s="430"/>
      <c r="F48" s="430"/>
      <c r="G48" s="303">
        <f>SUM(G39:G46)</f>
        <v>57600</v>
      </c>
      <c r="J48" s="430" t="s">
        <v>172</v>
      </c>
      <c r="K48" s="430"/>
      <c r="L48" s="430"/>
      <c r="M48" s="430"/>
      <c r="N48" s="430"/>
      <c r="O48" s="303">
        <f>SUM(O39:O46)</f>
        <v>184000</v>
      </c>
    </row>
    <row r="49" spans="2:15" ht="15.75">
      <c r="B49" s="285"/>
      <c r="C49" s="285"/>
      <c r="D49" s="285"/>
      <c r="E49" s="285"/>
      <c r="F49" s="285"/>
      <c r="G49" s="285"/>
      <c r="J49" s="285"/>
      <c r="K49" s="285"/>
      <c r="L49" s="285"/>
      <c r="M49" s="285"/>
      <c r="N49" s="285"/>
      <c r="O49" s="285"/>
    </row>
    <row r="50" spans="2:15" ht="15.75">
      <c r="B50" s="285"/>
      <c r="C50" s="285"/>
      <c r="D50" s="285"/>
      <c r="E50" s="285"/>
      <c r="F50" s="285"/>
      <c r="G50" s="285"/>
      <c r="J50" s="285"/>
      <c r="K50" s="285"/>
      <c r="L50" s="285"/>
      <c r="M50" s="285"/>
      <c r="N50" s="285"/>
      <c r="O50" s="285"/>
    </row>
    <row r="51" spans="2:15" ht="15.75">
      <c r="B51" s="285"/>
      <c r="C51" s="285"/>
      <c r="D51" s="285"/>
      <c r="E51" s="285"/>
      <c r="F51" s="285"/>
      <c r="G51" s="285"/>
      <c r="J51" s="285"/>
      <c r="K51" s="285"/>
      <c r="L51" s="285"/>
      <c r="M51" s="285"/>
      <c r="N51" s="285"/>
      <c r="O51" s="285"/>
    </row>
    <row r="52" spans="2:15" ht="15.75">
      <c r="B52" s="285"/>
      <c r="C52" s="285"/>
      <c r="D52" s="285"/>
      <c r="E52" s="285"/>
      <c r="F52" s="285"/>
      <c r="G52" s="285"/>
      <c r="J52" s="285"/>
      <c r="K52" s="285"/>
      <c r="L52" s="285"/>
      <c r="M52" s="285"/>
      <c r="N52" s="285"/>
      <c r="O52" s="285"/>
    </row>
    <row r="53" spans="2:15" ht="15.75">
      <c r="B53" s="285"/>
      <c r="C53" s="285"/>
      <c r="D53" s="285"/>
      <c r="E53" s="285"/>
      <c r="F53" s="285"/>
      <c r="G53" s="285"/>
      <c r="J53" s="285"/>
      <c r="K53" s="285"/>
      <c r="L53" s="285"/>
      <c r="M53" s="285"/>
      <c r="N53" s="285"/>
      <c r="O53" s="285"/>
    </row>
    <row r="54" spans="2:15" ht="15.75">
      <c r="B54" s="285"/>
      <c r="C54" s="285"/>
      <c r="D54" s="285"/>
      <c r="E54" s="285"/>
      <c r="F54" s="285"/>
      <c r="G54" s="285"/>
      <c r="J54" s="285"/>
      <c r="K54" s="285"/>
      <c r="L54" s="285"/>
      <c r="M54" s="285"/>
      <c r="N54" s="285"/>
      <c r="O54" s="285"/>
    </row>
    <row r="55" spans="2:15" ht="15.75">
      <c r="B55" s="285"/>
      <c r="C55" s="285"/>
      <c r="D55" s="285"/>
      <c r="E55" s="285"/>
      <c r="F55" s="285"/>
      <c r="G55" s="285"/>
      <c r="J55" s="285"/>
      <c r="K55" s="285"/>
      <c r="L55" s="285"/>
      <c r="M55" s="285"/>
      <c r="N55" s="285"/>
      <c r="O55" s="285"/>
    </row>
    <row r="56" spans="2:15" ht="15.75">
      <c r="B56" s="285"/>
      <c r="C56" s="285"/>
      <c r="D56" s="285"/>
      <c r="E56" s="285"/>
      <c r="F56" s="285"/>
      <c r="G56" s="285"/>
      <c r="J56" s="285"/>
      <c r="K56" s="285"/>
      <c r="L56" s="285"/>
      <c r="M56" s="285"/>
      <c r="N56" s="285"/>
      <c r="O56" s="285"/>
    </row>
    <row r="57" spans="2:15" ht="15.75">
      <c r="B57" s="285"/>
      <c r="C57" s="285"/>
      <c r="D57" s="285"/>
      <c r="E57" s="285"/>
      <c r="F57" s="285"/>
      <c r="G57" s="285"/>
      <c r="J57" s="285"/>
      <c r="K57" s="285"/>
      <c r="L57" s="285"/>
      <c r="M57" s="285"/>
      <c r="N57" s="285"/>
      <c r="O57" s="285"/>
    </row>
    <row r="58" spans="2:15" ht="15.75">
      <c r="B58" s="285"/>
      <c r="C58" s="304" t="s">
        <v>273</v>
      </c>
      <c r="D58" s="285"/>
      <c r="E58" s="302" t="s">
        <v>319</v>
      </c>
      <c r="F58" s="302"/>
      <c r="G58" s="305"/>
      <c r="J58" s="285"/>
      <c r="K58" s="304" t="s">
        <v>273</v>
      </c>
      <c r="L58" s="285"/>
      <c r="M58" s="302" t="s">
        <v>319</v>
      </c>
      <c r="N58" s="302"/>
      <c r="O58" s="305"/>
    </row>
    <row r="59" spans="2:15" ht="15.75">
      <c r="B59" s="285"/>
      <c r="C59" s="366" t="s">
        <v>209</v>
      </c>
      <c r="D59" s="307"/>
      <c r="E59" s="431" t="s">
        <v>207</v>
      </c>
      <c r="F59" s="431"/>
      <c r="G59" s="431"/>
      <c r="J59" s="285"/>
      <c r="K59" s="366" t="s">
        <v>209</v>
      </c>
      <c r="L59" s="307"/>
      <c r="M59" s="431" t="s">
        <v>207</v>
      </c>
      <c r="N59" s="431"/>
      <c r="O59" s="431"/>
    </row>
    <row r="60" spans="2:15" ht="15.75">
      <c r="B60" s="285"/>
      <c r="C60" s="285"/>
      <c r="D60" s="285"/>
      <c r="E60" s="285"/>
      <c r="F60" s="285"/>
      <c r="G60" s="285"/>
      <c r="J60" s="285"/>
      <c r="K60" s="285"/>
      <c r="L60" s="285"/>
      <c r="M60" s="285"/>
      <c r="N60" s="285"/>
      <c r="O60" s="285"/>
    </row>
    <row r="61" spans="2:15" ht="15.75">
      <c r="B61" s="285"/>
      <c r="C61" s="285"/>
      <c r="D61" s="285"/>
      <c r="E61" s="285"/>
      <c r="F61" s="285"/>
      <c r="G61" s="285"/>
      <c r="J61" s="285"/>
      <c r="K61" s="285"/>
      <c r="L61" s="285"/>
      <c r="M61" s="285"/>
      <c r="N61" s="285"/>
      <c r="O61" s="285"/>
    </row>
    <row r="62" spans="2:15" ht="15.75">
      <c r="B62" s="285"/>
      <c r="C62" s="285"/>
      <c r="D62" s="285"/>
      <c r="E62" s="285"/>
      <c r="F62" s="285"/>
      <c r="G62" s="285"/>
      <c r="J62" s="285"/>
      <c r="K62" s="285"/>
      <c r="L62" s="285"/>
      <c r="M62" s="285"/>
      <c r="N62" s="285"/>
      <c r="O62" s="285"/>
    </row>
    <row r="63" spans="2:15" ht="15.75">
      <c r="B63" s="285"/>
      <c r="C63" s="285"/>
      <c r="D63" s="285"/>
      <c r="E63" s="285"/>
      <c r="F63" s="285"/>
      <c r="G63" s="285"/>
      <c r="J63" s="285"/>
      <c r="K63" s="285"/>
      <c r="L63" s="285"/>
      <c r="M63" s="285"/>
      <c r="N63" s="285"/>
      <c r="O63" s="285"/>
    </row>
    <row r="64" spans="2:15" ht="15.75">
      <c r="B64" s="285"/>
      <c r="C64" s="285"/>
      <c r="D64" s="285"/>
      <c r="E64" s="285"/>
      <c r="F64" s="285"/>
      <c r="G64" s="285"/>
      <c r="J64" s="285"/>
      <c r="K64" s="285"/>
      <c r="L64" s="285"/>
      <c r="M64" s="285"/>
      <c r="N64" s="285"/>
      <c r="O64" s="285"/>
    </row>
    <row r="65" spans="1:15" ht="15.75">
      <c r="B65" s="285"/>
      <c r="C65" s="285"/>
      <c r="D65" s="285"/>
      <c r="E65" s="285"/>
      <c r="F65" s="285"/>
      <c r="G65" s="285"/>
      <c r="J65" s="285"/>
      <c r="K65" s="285"/>
      <c r="L65" s="285"/>
      <c r="M65" s="285"/>
      <c r="N65" s="285"/>
      <c r="O65" s="285"/>
    </row>
    <row r="66" spans="1:15" ht="15.75">
      <c r="B66" s="285"/>
      <c r="C66" s="304" t="s">
        <v>273</v>
      </c>
      <c r="D66" s="302"/>
      <c r="E66" s="302" t="s">
        <v>319</v>
      </c>
      <c r="F66" s="302"/>
      <c r="G66" s="305"/>
      <c r="J66" s="285"/>
      <c r="K66" s="304" t="s">
        <v>273</v>
      </c>
      <c r="L66" s="302"/>
      <c r="M66" s="302" t="s">
        <v>319</v>
      </c>
      <c r="N66" s="302"/>
      <c r="O66" s="305"/>
    </row>
    <row r="67" spans="1:15" ht="15.75">
      <c r="B67" s="285"/>
      <c r="C67" s="366" t="s">
        <v>208</v>
      </c>
      <c r="D67" s="367"/>
      <c r="E67" s="432" t="s">
        <v>175</v>
      </c>
      <c r="F67" s="432"/>
      <c r="G67" s="285"/>
      <c r="J67" s="285"/>
      <c r="K67" s="366" t="s">
        <v>208</v>
      </c>
      <c r="L67" s="367"/>
      <c r="M67" s="432" t="s">
        <v>175</v>
      </c>
      <c r="N67" s="432"/>
      <c r="O67" s="285"/>
    </row>
    <row r="68" spans="1:15" ht="15.75">
      <c r="B68" s="285"/>
      <c r="C68" s="285"/>
      <c r="D68" s="285"/>
      <c r="E68" s="285"/>
      <c r="F68" s="285"/>
      <c r="G68" s="285"/>
      <c r="J68" s="285"/>
      <c r="K68" s="285"/>
      <c r="L68" s="285"/>
      <c r="M68" s="285"/>
      <c r="N68" s="285"/>
      <c r="O68" s="285"/>
    </row>
    <row r="69" spans="1:15" ht="15.75">
      <c r="B69" s="285"/>
      <c r="C69" s="285"/>
      <c r="D69" s="285"/>
      <c r="E69" s="285"/>
      <c r="F69" s="285"/>
      <c r="G69" s="285"/>
    </row>
    <row r="70" spans="1:15" ht="15.75">
      <c r="A70" s="368"/>
      <c r="B70" s="285"/>
      <c r="C70" s="285"/>
      <c r="D70" s="285"/>
      <c r="E70" s="285"/>
      <c r="F70" s="285"/>
      <c r="G70" s="285"/>
      <c r="H70" s="368"/>
    </row>
    <row r="71" spans="1:15" ht="15.75">
      <c r="A71" s="368"/>
      <c r="B71" s="285"/>
      <c r="C71" s="285"/>
      <c r="D71" s="285"/>
      <c r="E71" s="285"/>
      <c r="F71" s="285"/>
      <c r="G71" s="285"/>
      <c r="H71" s="368"/>
    </row>
    <row r="72" spans="1:15" ht="15.75">
      <c r="A72" s="368"/>
      <c r="B72" s="285"/>
      <c r="C72" s="285"/>
      <c r="D72" s="285"/>
      <c r="E72" s="285"/>
      <c r="F72" s="285"/>
      <c r="G72" s="285"/>
      <c r="H72" s="368"/>
    </row>
    <row r="73" spans="1:15" ht="15.75">
      <c r="A73" s="368"/>
      <c r="B73" s="430" t="s">
        <v>206</v>
      </c>
      <c r="C73" s="430"/>
      <c r="D73" s="430"/>
      <c r="E73" s="430"/>
      <c r="F73" s="430"/>
      <c r="G73" s="430"/>
      <c r="H73" s="368"/>
    </row>
    <row r="74" spans="1:15" s="368" customFormat="1" ht="15.75">
      <c r="B74" s="437" t="s">
        <v>8</v>
      </c>
      <c r="C74" s="438"/>
      <c r="D74" s="438"/>
      <c r="E74" s="438"/>
      <c r="F74" s="438"/>
      <c r="G74" s="439"/>
    </row>
    <row r="75" spans="1:15" ht="15.75">
      <c r="A75" s="368"/>
      <c r="B75" s="286" t="s">
        <v>167</v>
      </c>
      <c r="C75" s="286" t="s">
        <v>169</v>
      </c>
      <c r="D75" s="286" t="s">
        <v>170</v>
      </c>
      <c r="E75" s="286" t="s">
        <v>174</v>
      </c>
      <c r="F75" s="286" t="s">
        <v>171</v>
      </c>
      <c r="G75" s="286" t="s">
        <v>168</v>
      </c>
      <c r="H75" s="368"/>
    </row>
    <row r="76" spans="1:15" ht="63">
      <c r="A76" s="368"/>
      <c r="B76" s="364">
        <v>1</v>
      </c>
      <c r="C76" s="288" t="s">
        <v>476</v>
      </c>
      <c r="D76" s="364">
        <v>33649802</v>
      </c>
      <c r="E76" s="365"/>
      <c r="F76" s="290" t="s">
        <v>173</v>
      </c>
      <c r="G76" s="291">
        <v>14400</v>
      </c>
      <c r="H76" s="368"/>
    </row>
    <row r="77" spans="1:15" ht="15.75">
      <c r="A77" s="368"/>
      <c r="B77" s="430" t="s">
        <v>172</v>
      </c>
      <c r="C77" s="430"/>
      <c r="D77" s="430"/>
      <c r="E77" s="430"/>
      <c r="F77" s="430"/>
      <c r="G77" s="303">
        <f>G76</f>
        <v>14400</v>
      </c>
      <c r="H77" s="368"/>
    </row>
    <row r="78" spans="1:15" s="368" customFormat="1" ht="15.75">
      <c r="B78" s="367"/>
      <c r="C78" s="293"/>
      <c r="D78" s="367"/>
      <c r="E78" s="294"/>
      <c r="F78" s="369"/>
      <c r="G78" s="296"/>
    </row>
    <row r="79" spans="1:15" s="368" customFormat="1" ht="15.75">
      <c r="B79" s="367"/>
      <c r="C79" s="293"/>
      <c r="D79" s="367"/>
      <c r="E79" s="294"/>
      <c r="F79" s="369"/>
      <c r="G79" s="296"/>
    </row>
    <row r="80" spans="1:15" s="368" customFormat="1" ht="15.75">
      <c r="B80" s="367"/>
      <c r="C80" s="293"/>
      <c r="D80" s="367"/>
      <c r="E80" s="294"/>
      <c r="F80" s="369"/>
      <c r="G80" s="296"/>
    </row>
    <row r="81" spans="2:7" s="368" customFormat="1" ht="15.75">
      <c r="B81" s="367"/>
      <c r="C81" s="293"/>
      <c r="D81" s="367"/>
      <c r="E81" s="294"/>
      <c r="F81" s="369"/>
      <c r="G81" s="296"/>
    </row>
    <row r="82" spans="2:7" s="368" customFormat="1" ht="15.75">
      <c r="B82" s="367"/>
      <c r="C82" s="293"/>
      <c r="D82" s="367"/>
      <c r="E82" s="294"/>
      <c r="F82" s="369"/>
      <c r="G82" s="296"/>
    </row>
    <row r="83" spans="2:7" s="368" customFormat="1" ht="15.75">
      <c r="B83" s="367"/>
      <c r="C83" s="293"/>
      <c r="D83" s="367"/>
      <c r="E83" s="294"/>
      <c r="F83" s="369"/>
      <c r="G83" s="296"/>
    </row>
    <row r="84" spans="2:7" s="368" customFormat="1" ht="15.75">
      <c r="B84" s="367"/>
      <c r="C84" s="293"/>
      <c r="D84" s="367"/>
      <c r="E84" s="294"/>
      <c r="F84" s="369"/>
      <c r="G84" s="296"/>
    </row>
    <row r="85" spans="2:7" s="368" customFormat="1" ht="15.75">
      <c r="B85" s="285"/>
      <c r="C85" s="304" t="s">
        <v>273</v>
      </c>
      <c r="D85" s="285"/>
      <c r="E85" s="302" t="s">
        <v>319</v>
      </c>
      <c r="F85" s="302"/>
      <c r="G85" s="305"/>
    </row>
    <row r="86" spans="2:7" s="368" customFormat="1" ht="15.75">
      <c r="B86" s="285"/>
      <c r="C86" s="366" t="s">
        <v>209</v>
      </c>
      <c r="D86" s="307"/>
      <c r="E86" s="431" t="s">
        <v>207</v>
      </c>
      <c r="F86" s="431"/>
      <c r="G86" s="431"/>
    </row>
    <row r="87" spans="2:7" s="368" customFormat="1" ht="15.75">
      <c r="B87" s="285"/>
      <c r="C87" s="285"/>
      <c r="D87" s="285"/>
      <c r="E87" s="285"/>
      <c r="F87" s="285"/>
      <c r="G87" s="285"/>
    </row>
    <row r="88" spans="2:7" s="368" customFormat="1" ht="15.75">
      <c r="B88" s="285"/>
      <c r="C88" s="285"/>
      <c r="D88" s="285"/>
      <c r="E88" s="285"/>
      <c r="F88" s="285"/>
      <c r="G88" s="285"/>
    </row>
    <row r="89" spans="2:7" s="368" customFormat="1" ht="15.75">
      <c r="B89" s="285"/>
      <c r="C89" s="285"/>
      <c r="D89" s="285"/>
      <c r="E89" s="285"/>
      <c r="F89" s="285"/>
      <c r="G89" s="285"/>
    </row>
    <row r="90" spans="2:7" s="368" customFormat="1" ht="15.75">
      <c r="B90" s="285"/>
      <c r="C90" s="285"/>
      <c r="D90" s="285"/>
      <c r="E90" s="285"/>
      <c r="F90" s="285"/>
      <c r="G90" s="285"/>
    </row>
    <row r="91" spans="2:7" s="368" customFormat="1" ht="15.75">
      <c r="B91" s="285"/>
      <c r="C91" s="285"/>
      <c r="D91" s="285"/>
      <c r="E91" s="285"/>
      <c r="F91" s="285"/>
      <c r="G91" s="285"/>
    </row>
    <row r="92" spans="2:7" s="368" customFormat="1" ht="15.75">
      <c r="B92" s="285"/>
      <c r="C92" s="285"/>
      <c r="D92" s="285"/>
      <c r="E92" s="285"/>
      <c r="F92" s="285"/>
      <c r="G92" s="285"/>
    </row>
    <row r="93" spans="2:7" s="368" customFormat="1" ht="15.75">
      <c r="B93" s="285"/>
      <c r="C93" s="304" t="s">
        <v>273</v>
      </c>
      <c r="D93" s="302"/>
      <c r="E93" s="302" t="s">
        <v>319</v>
      </c>
      <c r="F93" s="302"/>
      <c r="G93" s="305"/>
    </row>
    <row r="94" spans="2:7" s="368" customFormat="1" ht="15.75">
      <c r="B94" s="285"/>
      <c r="C94" s="366" t="s">
        <v>208</v>
      </c>
      <c r="D94" s="367"/>
      <c r="E94" s="432" t="s">
        <v>175</v>
      </c>
      <c r="F94" s="432"/>
      <c r="G94" s="285"/>
    </row>
    <row r="95" spans="2:7" s="368" customFormat="1" ht="15.75">
      <c r="B95" s="367"/>
      <c r="C95" s="293"/>
      <c r="D95" s="367"/>
      <c r="E95" s="294"/>
      <c r="F95" s="369"/>
      <c r="G95" s="296"/>
    </row>
    <row r="96" spans="2:7" s="368" customFormat="1" ht="15.75">
      <c r="B96" s="367"/>
      <c r="C96" s="293"/>
      <c r="D96" s="367"/>
      <c r="E96" s="294"/>
      <c r="F96" s="369"/>
      <c r="G96" s="296"/>
    </row>
    <row r="97" spans="1:15" ht="15.75">
      <c r="A97" s="368"/>
      <c r="B97" s="285"/>
      <c r="C97" s="285"/>
      <c r="D97" s="285"/>
      <c r="E97" s="285"/>
      <c r="F97" s="285"/>
      <c r="G97" s="285"/>
      <c r="H97" s="368"/>
    </row>
    <row r="98" spans="1:15" ht="15.75">
      <c r="A98" s="368"/>
      <c r="B98" s="285"/>
      <c r="C98" s="285"/>
      <c r="D98" s="285"/>
      <c r="E98" s="285"/>
      <c r="F98" s="285"/>
      <c r="G98" s="285"/>
      <c r="H98" s="368"/>
    </row>
    <row r="99" spans="1:15" ht="15.75">
      <c r="A99" s="368"/>
      <c r="B99" s="437" t="s">
        <v>206</v>
      </c>
      <c r="C99" s="438"/>
      <c r="D99" s="438"/>
      <c r="E99" s="438"/>
      <c r="F99" s="438"/>
      <c r="G99" s="439"/>
      <c r="H99" s="368"/>
      <c r="J99" s="437" t="s">
        <v>206</v>
      </c>
      <c r="K99" s="438"/>
      <c r="L99" s="438"/>
      <c r="M99" s="438"/>
      <c r="N99" s="438"/>
      <c r="O99" s="439"/>
    </row>
    <row r="100" spans="1:15" s="368" customFormat="1" ht="15.75">
      <c r="B100" s="437" t="s">
        <v>493</v>
      </c>
      <c r="C100" s="438"/>
      <c r="D100" s="438"/>
      <c r="E100" s="438"/>
      <c r="F100" s="438"/>
      <c r="G100" s="439"/>
      <c r="J100" s="437" t="s">
        <v>493</v>
      </c>
      <c r="K100" s="438"/>
      <c r="L100" s="438"/>
      <c r="M100" s="438"/>
      <c r="N100" s="438"/>
      <c r="O100" s="439"/>
    </row>
    <row r="101" spans="1:15" ht="15.75">
      <c r="A101" s="368"/>
      <c r="B101" s="286" t="s">
        <v>167</v>
      </c>
      <c r="C101" s="286" t="s">
        <v>169</v>
      </c>
      <c r="D101" s="286" t="s">
        <v>170</v>
      </c>
      <c r="E101" s="286" t="s">
        <v>174</v>
      </c>
      <c r="F101" s="286" t="s">
        <v>171</v>
      </c>
      <c r="G101" s="286" t="s">
        <v>168</v>
      </c>
      <c r="H101" s="368"/>
      <c r="J101" s="286" t="s">
        <v>167</v>
      </c>
      <c r="K101" s="286" t="s">
        <v>169</v>
      </c>
      <c r="L101" s="286" t="s">
        <v>170</v>
      </c>
      <c r="M101" s="286" t="s">
        <v>174</v>
      </c>
      <c r="N101" s="286" t="s">
        <v>171</v>
      </c>
      <c r="O101" s="286" t="s">
        <v>168</v>
      </c>
    </row>
    <row r="102" spans="1:15" ht="63">
      <c r="A102" s="368"/>
      <c r="B102" s="364">
        <v>1</v>
      </c>
      <c r="C102" s="288" t="s">
        <v>484</v>
      </c>
      <c r="D102" s="364">
        <v>33649804</v>
      </c>
      <c r="E102" s="365"/>
      <c r="F102" s="290" t="s">
        <v>173</v>
      </c>
      <c r="G102" s="291">
        <v>19600</v>
      </c>
      <c r="H102" s="368"/>
      <c r="J102" s="370">
        <v>1</v>
      </c>
      <c r="K102" s="288" t="s">
        <v>496</v>
      </c>
      <c r="L102" s="370">
        <v>33649822</v>
      </c>
      <c r="M102" s="371"/>
      <c r="N102" s="290" t="s">
        <v>173</v>
      </c>
      <c r="O102" s="291">
        <v>19600</v>
      </c>
    </row>
    <row r="103" spans="1:15" ht="63">
      <c r="A103" s="368"/>
      <c r="B103" s="364">
        <v>2</v>
      </c>
      <c r="C103" s="288" t="s">
        <v>485</v>
      </c>
      <c r="D103" s="364">
        <v>33649805</v>
      </c>
      <c r="E103" s="365"/>
      <c r="F103" s="290" t="s">
        <v>173</v>
      </c>
      <c r="G103" s="291">
        <v>19600</v>
      </c>
      <c r="H103" s="368"/>
      <c r="J103" s="370">
        <v>2</v>
      </c>
      <c r="K103" s="288" t="s">
        <v>497</v>
      </c>
      <c r="L103" s="370">
        <v>33649823</v>
      </c>
      <c r="M103" s="371"/>
      <c r="N103" s="290" t="s">
        <v>173</v>
      </c>
      <c r="O103" s="291">
        <v>19600</v>
      </c>
    </row>
    <row r="104" spans="1:15" ht="63">
      <c r="A104" s="368"/>
      <c r="B104" s="364">
        <v>3</v>
      </c>
      <c r="C104" s="288" t="s">
        <v>486</v>
      </c>
      <c r="D104" s="364">
        <v>33649806</v>
      </c>
      <c r="E104" s="365"/>
      <c r="F104" s="290" t="s">
        <v>173</v>
      </c>
      <c r="G104" s="291">
        <v>19200</v>
      </c>
      <c r="H104" s="368"/>
      <c r="J104" s="370">
        <v>3</v>
      </c>
      <c r="K104" s="288" t="s">
        <v>498</v>
      </c>
      <c r="L104" s="370">
        <v>33649824</v>
      </c>
      <c r="M104" s="371"/>
      <c r="N104" s="290" t="s">
        <v>173</v>
      </c>
      <c r="O104" s="291">
        <v>19200</v>
      </c>
    </row>
    <row r="105" spans="1:15" ht="63">
      <c r="A105" s="368"/>
      <c r="B105" s="364">
        <v>4</v>
      </c>
      <c r="C105" s="288" t="s">
        <v>504</v>
      </c>
      <c r="D105" s="364">
        <v>33649807</v>
      </c>
      <c r="E105" s="365"/>
      <c r="F105" s="290" t="s">
        <v>173</v>
      </c>
      <c r="G105" s="291">
        <v>19200</v>
      </c>
      <c r="H105" s="368"/>
      <c r="J105" s="370">
        <v>4</v>
      </c>
      <c r="K105" s="288" t="s">
        <v>499</v>
      </c>
      <c r="L105" s="370">
        <v>33649825</v>
      </c>
      <c r="M105" s="371"/>
      <c r="N105" s="290" t="s">
        <v>173</v>
      </c>
      <c r="O105" s="291">
        <v>19200</v>
      </c>
    </row>
    <row r="106" spans="1:15" ht="63">
      <c r="B106" s="364">
        <v>5</v>
      </c>
      <c r="C106" s="288" t="s">
        <v>488</v>
      </c>
      <c r="D106" s="364">
        <v>33649809</v>
      </c>
      <c r="E106" s="365"/>
      <c r="F106" s="290" t="s">
        <v>173</v>
      </c>
      <c r="G106" s="291">
        <v>19200</v>
      </c>
      <c r="J106" s="370">
        <v>5</v>
      </c>
      <c r="K106" s="288" t="s">
        <v>500</v>
      </c>
      <c r="L106" s="370">
        <v>33746801</v>
      </c>
      <c r="M106" s="371"/>
      <c r="N106" s="290" t="s">
        <v>173</v>
      </c>
      <c r="O106" s="291">
        <v>19200</v>
      </c>
    </row>
    <row r="107" spans="1:15" ht="63">
      <c r="B107" s="364">
        <v>6</v>
      </c>
      <c r="C107" s="288" t="s">
        <v>505</v>
      </c>
      <c r="D107" s="364">
        <v>33649810</v>
      </c>
      <c r="E107" s="365"/>
      <c r="F107" s="290" t="s">
        <v>173</v>
      </c>
      <c r="G107" s="291">
        <v>29400</v>
      </c>
      <c r="J107" s="370">
        <v>6</v>
      </c>
      <c r="K107" s="288" t="s">
        <v>501</v>
      </c>
      <c r="L107" s="370">
        <v>33746802</v>
      </c>
      <c r="M107" s="371"/>
      <c r="N107" s="290" t="s">
        <v>173</v>
      </c>
      <c r="O107" s="291">
        <v>29400</v>
      </c>
    </row>
    <row r="108" spans="1:15" ht="63">
      <c r="B108" s="364">
        <v>7</v>
      </c>
      <c r="C108" s="288" t="s">
        <v>490</v>
      </c>
      <c r="D108" s="364">
        <v>33649811</v>
      </c>
      <c r="E108" s="365"/>
      <c r="F108" s="290" t="s">
        <v>173</v>
      </c>
      <c r="G108" s="291">
        <v>19800</v>
      </c>
      <c r="J108" s="370">
        <v>7</v>
      </c>
      <c r="K108" s="288" t="s">
        <v>502</v>
      </c>
      <c r="L108" s="370">
        <v>33746803</v>
      </c>
      <c r="M108" s="371"/>
      <c r="N108" s="290" t="s">
        <v>173</v>
      </c>
      <c r="O108" s="291">
        <v>19800</v>
      </c>
    </row>
    <row r="109" spans="1:15" ht="15.75">
      <c r="B109" s="430" t="s">
        <v>172</v>
      </c>
      <c r="C109" s="430"/>
      <c r="D109" s="430"/>
      <c r="E109" s="430"/>
      <c r="F109" s="430"/>
      <c r="G109" s="303">
        <f>SUM(G102:G108)</f>
        <v>146000</v>
      </c>
      <c r="J109" s="430" t="s">
        <v>172</v>
      </c>
      <c r="K109" s="430"/>
      <c r="L109" s="430"/>
      <c r="M109" s="430"/>
      <c r="N109" s="430"/>
      <c r="O109" s="303">
        <f>SUM(O102:O108)</f>
        <v>146000</v>
      </c>
    </row>
    <row r="110" spans="1:15" s="368" customFormat="1" ht="15.75">
      <c r="C110" s="285"/>
      <c r="D110" s="285"/>
      <c r="E110" s="285"/>
      <c r="F110" s="285"/>
      <c r="G110" s="285"/>
    </row>
    <row r="111" spans="1:15" s="368" customFormat="1" ht="15.75">
      <c r="C111" s="285"/>
      <c r="D111" s="285"/>
      <c r="E111" s="285"/>
      <c r="F111" s="285"/>
      <c r="G111" s="285"/>
    </row>
    <row r="112" spans="1:15" s="368" customFormat="1" ht="15.75">
      <c r="B112" s="285"/>
      <c r="C112" s="304" t="s">
        <v>273</v>
      </c>
      <c r="D112" s="285"/>
      <c r="E112" s="302" t="s">
        <v>319</v>
      </c>
      <c r="F112" s="302"/>
      <c r="G112" s="305"/>
      <c r="H112" s="373"/>
      <c r="I112" s="373"/>
      <c r="J112" s="373"/>
      <c r="K112" s="373"/>
    </row>
    <row r="113" spans="2:11" s="368" customFormat="1" ht="15.75">
      <c r="B113" s="285"/>
      <c r="C113" s="366" t="s">
        <v>209</v>
      </c>
      <c r="D113" s="307"/>
      <c r="E113" s="431" t="s">
        <v>207</v>
      </c>
      <c r="F113" s="431"/>
      <c r="G113" s="431"/>
      <c r="J113" s="373"/>
      <c r="K113" s="373"/>
    </row>
    <row r="114" spans="2:11" s="368" customFormat="1" ht="15.75">
      <c r="B114" s="285"/>
      <c r="C114" s="285"/>
      <c r="D114" s="285"/>
      <c r="E114" s="285"/>
      <c r="F114" s="285"/>
      <c r="G114" s="285"/>
      <c r="J114" s="373"/>
      <c r="K114" s="373"/>
    </row>
    <row r="115" spans="2:11" s="368" customFormat="1" ht="15.75">
      <c r="B115" s="285"/>
      <c r="C115" s="285"/>
      <c r="D115" s="285"/>
      <c r="E115" s="285"/>
      <c r="F115" s="285"/>
      <c r="G115" s="285"/>
      <c r="J115" s="373"/>
      <c r="K115" s="373"/>
    </row>
    <row r="116" spans="2:11" s="368" customFormat="1" ht="15.75">
      <c r="B116" s="285"/>
      <c r="C116" s="285"/>
      <c r="D116" s="285"/>
      <c r="E116" s="285"/>
      <c r="F116" s="285"/>
      <c r="G116" s="285"/>
      <c r="J116" s="373"/>
      <c r="K116" s="373"/>
    </row>
    <row r="117" spans="2:11" s="368" customFormat="1" ht="15.75">
      <c r="B117" s="285"/>
      <c r="C117" s="285"/>
      <c r="D117" s="285"/>
      <c r="E117" s="285"/>
      <c r="F117" s="285"/>
      <c r="G117" s="285"/>
      <c r="J117" s="373"/>
      <c r="K117" s="373"/>
    </row>
    <row r="118" spans="2:11" s="368" customFormat="1" ht="15.75">
      <c r="B118" s="285"/>
      <c r="C118" s="285"/>
      <c r="D118" s="285"/>
      <c r="E118" s="285"/>
      <c r="F118" s="285"/>
      <c r="G118" s="285"/>
      <c r="J118" s="373"/>
      <c r="K118" s="373"/>
    </row>
    <row r="119" spans="2:11" s="368" customFormat="1" ht="15.75">
      <c r="B119" s="285"/>
      <c r="C119" s="285"/>
      <c r="D119" s="285"/>
      <c r="E119" s="285"/>
      <c r="F119" s="285"/>
      <c r="G119" s="285"/>
      <c r="J119" s="373"/>
      <c r="K119" s="373"/>
    </row>
    <row r="120" spans="2:11" s="368" customFormat="1" ht="15.75">
      <c r="B120" s="285"/>
      <c r="C120" s="304" t="s">
        <v>273</v>
      </c>
      <c r="D120" s="302"/>
      <c r="E120" s="302" t="s">
        <v>319</v>
      </c>
      <c r="F120" s="302"/>
      <c r="G120" s="305"/>
      <c r="J120" s="373"/>
      <c r="K120" s="373"/>
    </row>
    <row r="121" spans="2:11" s="368" customFormat="1" ht="15.75">
      <c r="B121" s="285"/>
      <c r="C121" s="366" t="s">
        <v>208</v>
      </c>
      <c r="D121" s="367"/>
      <c r="E121" s="432" t="s">
        <v>175</v>
      </c>
      <c r="F121" s="432"/>
      <c r="G121" s="285"/>
      <c r="J121" s="373"/>
      <c r="K121" s="373"/>
    </row>
    <row r="122" spans="2:11" s="368" customFormat="1" ht="15.75">
      <c r="C122" s="285"/>
      <c r="D122" s="285"/>
      <c r="E122" s="285"/>
      <c r="F122" s="285"/>
      <c r="G122" s="285"/>
      <c r="J122" s="373"/>
      <c r="K122" s="373"/>
    </row>
    <row r="123" spans="2:11" s="368" customFormat="1" ht="15.75">
      <c r="C123" s="285"/>
      <c r="D123" s="285"/>
      <c r="E123" s="285"/>
      <c r="F123" s="285"/>
      <c r="G123" s="285"/>
    </row>
    <row r="124" spans="2:11" s="368" customFormat="1" ht="15.75">
      <c r="C124" s="285"/>
      <c r="D124" s="285"/>
      <c r="E124" s="285"/>
      <c r="F124" s="285"/>
      <c r="G124" s="285"/>
    </row>
    <row r="125" spans="2:11" s="368" customFormat="1" ht="15.75">
      <c r="C125" s="285"/>
      <c r="D125" s="285"/>
      <c r="E125" s="285"/>
      <c r="F125" s="285"/>
      <c r="G125" s="285"/>
    </row>
    <row r="126" spans="2:11" s="368" customFormat="1" ht="15.75">
      <c r="C126" s="285"/>
      <c r="D126" s="285"/>
      <c r="E126" s="285"/>
      <c r="F126" s="285"/>
      <c r="G126" s="285"/>
    </row>
    <row r="127" spans="2:11" s="368" customFormat="1" ht="15.75">
      <c r="C127" s="285"/>
      <c r="D127" s="285"/>
      <c r="E127" s="285"/>
      <c r="F127" s="285"/>
      <c r="G127" s="285"/>
    </row>
    <row r="128" spans="2:11" s="368" customFormat="1" ht="15.75">
      <c r="C128" s="285"/>
      <c r="D128" s="285"/>
      <c r="E128" s="285"/>
      <c r="F128" s="285"/>
      <c r="G128" s="285"/>
    </row>
    <row r="129" spans="2:7" s="368" customFormat="1" ht="15.75">
      <c r="C129" s="285"/>
      <c r="D129" s="285"/>
      <c r="E129" s="285"/>
      <c r="F129" s="285"/>
      <c r="G129" s="285"/>
    </row>
    <row r="130" spans="2:7" s="368" customFormat="1" ht="15.75">
      <c r="C130" s="285"/>
      <c r="D130" s="285"/>
      <c r="E130" s="285"/>
      <c r="F130" s="285"/>
      <c r="G130" s="285"/>
    </row>
    <row r="131" spans="2:7" s="368" customFormat="1" ht="15.75">
      <c r="C131" s="285"/>
      <c r="D131" s="285"/>
      <c r="E131" s="285"/>
      <c r="F131" s="285"/>
      <c r="G131" s="285"/>
    </row>
    <row r="132" spans="2:7" s="368" customFormat="1" ht="15.75">
      <c r="C132" s="285"/>
      <c r="D132" s="285"/>
      <c r="E132" s="285"/>
      <c r="F132" s="285"/>
      <c r="G132" s="285"/>
    </row>
    <row r="133" spans="2:7" ht="15.75">
      <c r="C133" s="285"/>
      <c r="D133" s="285"/>
      <c r="E133" s="285"/>
      <c r="F133" s="285"/>
      <c r="G133" s="285"/>
    </row>
    <row r="134" spans="2:7" ht="15.75">
      <c r="C134" s="285"/>
      <c r="D134" s="285"/>
      <c r="E134" s="285"/>
      <c r="F134" s="285"/>
      <c r="G134" s="285"/>
    </row>
    <row r="135" spans="2:7" ht="15.75">
      <c r="B135" s="430" t="s">
        <v>206</v>
      </c>
      <c r="C135" s="430"/>
      <c r="D135" s="430"/>
      <c r="E135" s="430"/>
      <c r="F135" s="430"/>
      <c r="G135" s="430"/>
    </row>
    <row r="136" spans="2:7" ht="15.75">
      <c r="B136" s="437" t="s">
        <v>4</v>
      </c>
      <c r="C136" s="438"/>
      <c r="D136" s="438"/>
      <c r="E136" s="438"/>
      <c r="F136" s="438"/>
      <c r="G136" s="439"/>
    </row>
    <row r="137" spans="2:7" ht="15.75">
      <c r="B137" s="286" t="s">
        <v>167</v>
      </c>
      <c r="C137" s="286" t="s">
        <v>169</v>
      </c>
      <c r="D137" s="286" t="s">
        <v>170</v>
      </c>
      <c r="E137" s="286" t="s">
        <v>174</v>
      </c>
      <c r="F137" s="286" t="s">
        <v>171</v>
      </c>
      <c r="G137" s="286" t="s">
        <v>168</v>
      </c>
    </row>
    <row r="138" spans="2:7" ht="63">
      <c r="B138" s="364">
        <v>1</v>
      </c>
      <c r="C138" s="288" t="s">
        <v>477</v>
      </c>
      <c r="D138" s="364">
        <v>33649812</v>
      </c>
      <c r="E138" s="365"/>
      <c r="F138" s="290" t="s">
        <v>173</v>
      </c>
      <c r="G138" s="291">
        <v>9600</v>
      </c>
    </row>
    <row r="139" spans="2:7" ht="63">
      <c r="B139" s="364">
        <v>2</v>
      </c>
      <c r="C139" s="288" t="s">
        <v>478</v>
      </c>
      <c r="D139" s="364">
        <v>33649813</v>
      </c>
      <c r="E139" s="365"/>
      <c r="F139" s="290" t="s">
        <v>173</v>
      </c>
      <c r="G139" s="291">
        <v>9600</v>
      </c>
    </row>
    <row r="140" spans="2:7" ht="63">
      <c r="B140" s="364">
        <v>3</v>
      </c>
      <c r="C140" s="288" t="s">
        <v>495</v>
      </c>
      <c r="D140" s="364">
        <v>33649814</v>
      </c>
      <c r="E140" s="365"/>
      <c r="F140" s="290" t="s">
        <v>173</v>
      </c>
      <c r="G140" s="291">
        <v>9600</v>
      </c>
    </row>
    <row r="141" spans="2:7" ht="63">
      <c r="B141" s="364">
        <v>4</v>
      </c>
      <c r="C141" s="288" t="s">
        <v>480</v>
      </c>
      <c r="D141" s="364">
        <v>33649815</v>
      </c>
      <c r="E141" s="365"/>
      <c r="F141" s="290" t="s">
        <v>173</v>
      </c>
      <c r="G141" s="291">
        <v>11800</v>
      </c>
    </row>
    <row r="142" spans="2:7" ht="63">
      <c r="B142" s="364">
        <v>5</v>
      </c>
      <c r="C142" s="288" t="s">
        <v>481</v>
      </c>
      <c r="D142" s="364">
        <v>33649816</v>
      </c>
      <c r="E142" s="365"/>
      <c r="F142" s="290" t="s">
        <v>173</v>
      </c>
      <c r="G142" s="291">
        <v>11800</v>
      </c>
    </row>
    <row r="143" spans="2:7" ht="63">
      <c r="B143" s="364">
        <v>6</v>
      </c>
      <c r="C143" s="288" t="s">
        <v>482</v>
      </c>
      <c r="D143" s="364">
        <v>33649817</v>
      </c>
      <c r="E143" s="365"/>
      <c r="F143" s="290" t="s">
        <v>173</v>
      </c>
      <c r="G143" s="291">
        <v>9600</v>
      </c>
    </row>
    <row r="144" spans="2:7" ht="63">
      <c r="B144" s="364">
        <v>7</v>
      </c>
      <c r="C144" s="288" t="s">
        <v>483</v>
      </c>
      <c r="D144" s="364">
        <v>33649818</v>
      </c>
      <c r="E144" s="365"/>
      <c r="F144" s="290" t="s">
        <v>173</v>
      </c>
      <c r="G144" s="291">
        <v>9600</v>
      </c>
    </row>
    <row r="145" spans="2:7" ht="15.75">
      <c r="B145" s="430" t="s">
        <v>172</v>
      </c>
      <c r="C145" s="430"/>
      <c r="D145" s="430"/>
      <c r="E145" s="430"/>
      <c r="F145" s="430"/>
      <c r="G145" s="303">
        <f>SUM(G138:G144)</f>
        <v>71600</v>
      </c>
    </row>
    <row r="147" spans="2:7" s="368" customFormat="1" ht="15.75">
      <c r="B147" s="285"/>
      <c r="C147" s="304" t="s">
        <v>273</v>
      </c>
      <c r="D147" s="285"/>
      <c r="E147" s="302" t="s">
        <v>319</v>
      </c>
      <c r="F147" s="302"/>
      <c r="G147" s="305"/>
    </row>
    <row r="148" spans="2:7" s="368" customFormat="1" ht="15.75">
      <c r="B148" s="285"/>
      <c r="C148" s="366" t="s">
        <v>209</v>
      </c>
      <c r="D148" s="307"/>
      <c r="E148" s="431" t="s">
        <v>207</v>
      </c>
      <c r="F148" s="431"/>
      <c r="G148" s="431"/>
    </row>
    <row r="149" spans="2:7" s="368" customFormat="1" ht="15.75">
      <c r="B149" s="285"/>
      <c r="C149" s="285"/>
      <c r="D149" s="285"/>
      <c r="E149" s="285"/>
      <c r="F149" s="285"/>
      <c r="G149" s="285"/>
    </row>
    <row r="150" spans="2:7" s="368" customFormat="1" ht="15.75">
      <c r="B150" s="285"/>
      <c r="C150" s="285"/>
      <c r="D150" s="285"/>
      <c r="E150" s="285"/>
      <c r="F150" s="285"/>
      <c r="G150" s="285"/>
    </row>
    <row r="151" spans="2:7" s="368" customFormat="1" ht="15.75">
      <c r="B151" s="285"/>
      <c r="C151" s="285"/>
      <c r="D151" s="285"/>
      <c r="E151" s="285"/>
      <c r="F151" s="285"/>
      <c r="G151" s="285"/>
    </row>
    <row r="152" spans="2:7" s="368" customFormat="1" ht="15.75">
      <c r="B152" s="285"/>
      <c r="C152" s="285"/>
      <c r="D152" s="285"/>
      <c r="E152" s="285"/>
      <c r="F152" s="285"/>
      <c r="G152" s="285"/>
    </row>
    <row r="153" spans="2:7" s="368" customFormat="1" ht="15.75">
      <c r="B153" s="285"/>
      <c r="C153" s="285"/>
      <c r="D153" s="285"/>
      <c r="E153" s="285"/>
      <c r="F153" s="285"/>
      <c r="G153" s="285"/>
    </row>
    <row r="154" spans="2:7" s="368" customFormat="1" ht="15.75">
      <c r="B154" s="285"/>
      <c r="C154" s="285"/>
      <c r="D154" s="285"/>
      <c r="E154" s="285"/>
      <c r="F154" s="285"/>
      <c r="G154" s="285"/>
    </row>
    <row r="155" spans="2:7" s="368" customFormat="1" ht="15.75">
      <c r="B155" s="285"/>
      <c r="C155" s="304" t="s">
        <v>273</v>
      </c>
      <c r="D155" s="302"/>
      <c r="E155" s="302" t="s">
        <v>319</v>
      </c>
      <c r="F155" s="302"/>
      <c r="G155" s="305"/>
    </row>
    <row r="156" spans="2:7" s="368" customFormat="1" ht="15.75">
      <c r="B156" s="285"/>
      <c r="C156" s="366" t="s">
        <v>208</v>
      </c>
      <c r="D156" s="367"/>
      <c r="E156" s="432" t="s">
        <v>175</v>
      </c>
      <c r="F156" s="432"/>
      <c r="G156" s="285"/>
    </row>
    <row r="157" spans="2:7" s="368" customFormat="1"/>
    <row r="158" spans="2:7" s="368" customFormat="1"/>
    <row r="159" spans="2:7" s="368" customFormat="1"/>
    <row r="160" spans="2:7" s="368" customFormat="1"/>
    <row r="161" spans="2:7" s="368" customFormat="1"/>
    <row r="162" spans="2:7" s="368" customFormat="1"/>
    <row r="163" spans="2:7" s="368" customFormat="1"/>
    <row r="164" spans="2:7" s="368" customFormat="1"/>
    <row r="165" spans="2:7" s="368" customFormat="1"/>
    <row r="166" spans="2:7" s="368" customFormat="1"/>
    <row r="169" spans="2:7" ht="15.75">
      <c r="B169" s="430" t="s">
        <v>206</v>
      </c>
      <c r="C169" s="430"/>
      <c r="D169" s="430"/>
      <c r="E169" s="430"/>
      <c r="F169" s="430"/>
      <c r="G169" s="430"/>
    </row>
    <row r="170" spans="2:7" ht="15.75">
      <c r="B170" s="437" t="s">
        <v>4</v>
      </c>
      <c r="C170" s="438"/>
      <c r="D170" s="438"/>
      <c r="E170" s="438"/>
      <c r="F170" s="438"/>
      <c r="G170" s="439"/>
    </row>
    <row r="171" spans="2:7" ht="15.75">
      <c r="B171" s="286" t="s">
        <v>167</v>
      </c>
      <c r="C171" s="286" t="s">
        <v>169</v>
      </c>
      <c r="D171" s="286" t="s">
        <v>170</v>
      </c>
      <c r="E171" s="286" t="s">
        <v>174</v>
      </c>
      <c r="F171" s="286" t="s">
        <v>171</v>
      </c>
      <c r="G171" s="286" t="s">
        <v>168</v>
      </c>
    </row>
    <row r="172" spans="2:7" ht="63">
      <c r="B172" s="364">
        <v>1</v>
      </c>
      <c r="C172" s="288" t="s">
        <v>494</v>
      </c>
      <c r="D172" s="364">
        <v>33649803</v>
      </c>
      <c r="E172" s="365"/>
      <c r="F172" s="290" t="s">
        <v>173</v>
      </c>
      <c r="G172" s="291">
        <v>28800</v>
      </c>
    </row>
    <row r="173" spans="2:7" ht="15.75">
      <c r="B173" s="430" t="s">
        <v>172</v>
      </c>
      <c r="C173" s="430"/>
      <c r="D173" s="430"/>
      <c r="E173" s="430"/>
      <c r="F173" s="430"/>
      <c r="G173" s="303">
        <f>G172</f>
        <v>28800</v>
      </c>
    </row>
    <row r="178" spans="2:7" ht="15.75">
      <c r="B178" s="285"/>
      <c r="C178" s="304" t="s">
        <v>273</v>
      </c>
      <c r="D178" s="285"/>
      <c r="E178" s="302" t="s">
        <v>319</v>
      </c>
      <c r="F178" s="302"/>
      <c r="G178" s="305"/>
    </row>
    <row r="179" spans="2:7" ht="15.75">
      <c r="B179" s="285"/>
      <c r="C179" s="366" t="s">
        <v>209</v>
      </c>
      <c r="D179" s="307"/>
      <c r="E179" s="431" t="s">
        <v>207</v>
      </c>
      <c r="F179" s="431"/>
      <c r="G179" s="431"/>
    </row>
    <row r="180" spans="2:7" ht="15.75">
      <c r="B180" s="285"/>
      <c r="C180" s="285"/>
      <c r="D180" s="285"/>
      <c r="E180" s="285"/>
      <c r="F180" s="285"/>
      <c r="G180" s="285"/>
    </row>
    <row r="181" spans="2:7" ht="15.75">
      <c r="B181" s="285"/>
      <c r="C181" s="285"/>
      <c r="D181" s="285"/>
      <c r="E181" s="285"/>
      <c r="F181" s="285"/>
      <c r="G181" s="285"/>
    </row>
    <row r="182" spans="2:7" ht="15.75">
      <c r="B182" s="285"/>
      <c r="C182" s="285"/>
      <c r="D182" s="285"/>
      <c r="E182" s="285"/>
      <c r="F182" s="285"/>
      <c r="G182" s="285"/>
    </row>
    <row r="183" spans="2:7" ht="15.75">
      <c r="B183" s="285"/>
      <c r="C183" s="285"/>
      <c r="D183" s="285"/>
      <c r="E183" s="285"/>
      <c r="F183" s="285"/>
      <c r="G183" s="285"/>
    </row>
    <row r="184" spans="2:7" ht="15.75">
      <c r="B184" s="285"/>
      <c r="C184" s="285"/>
      <c r="D184" s="285"/>
      <c r="E184" s="285"/>
      <c r="F184" s="285"/>
      <c r="G184" s="285"/>
    </row>
    <row r="185" spans="2:7" ht="15.75">
      <c r="B185" s="285"/>
      <c r="C185" s="285"/>
      <c r="D185" s="285"/>
      <c r="E185" s="285"/>
      <c r="F185" s="285"/>
      <c r="G185" s="285"/>
    </row>
    <row r="186" spans="2:7" ht="15.75">
      <c r="B186" s="285"/>
      <c r="C186" s="304" t="s">
        <v>273</v>
      </c>
      <c r="D186" s="302"/>
      <c r="E186" s="302" t="s">
        <v>319</v>
      </c>
      <c r="F186" s="302"/>
      <c r="G186" s="305"/>
    </row>
    <row r="187" spans="2:7" ht="15.75">
      <c r="B187" s="285"/>
      <c r="C187" s="366" t="s">
        <v>208</v>
      </c>
      <c r="D187" s="367"/>
      <c r="E187" s="432" t="s">
        <v>175</v>
      </c>
      <c r="F187" s="432"/>
      <c r="G187" s="285"/>
    </row>
    <row r="205" spans="2:7" ht="15.75">
      <c r="B205" s="437" t="s">
        <v>206</v>
      </c>
      <c r="C205" s="438"/>
      <c r="D205" s="438"/>
      <c r="E205" s="438"/>
      <c r="F205" s="438"/>
      <c r="G205" s="439"/>
    </row>
    <row r="206" spans="2:7" ht="15.75">
      <c r="B206" s="437" t="s">
        <v>493</v>
      </c>
      <c r="C206" s="438"/>
      <c r="D206" s="438"/>
      <c r="E206" s="438"/>
      <c r="F206" s="438"/>
      <c r="G206" s="439"/>
    </row>
    <row r="207" spans="2:7" ht="15.75">
      <c r="B207" s="286" t="s">
        <v>167</v>
      </c>
      <c r="C207" s="286" t="s">
        <v>169</v>
      </c>
      <c r="D207" s="286" t="s">
        <v>170</v>
      </c>
      <c r="E207" s="286" t="s">
        <v>174</v>
      </c>
      <c r="F207" s="286" t="s">
        <v>171</v>
      </c>
      <c r="G207" s="286" t="s">
        <v>168</v>
      </c>
    </row>
    <row r="208" spans="2:7" ht="63">
      <c r="B208" s="370">
        <v>1</v>
      </c>
      <c r="C208" s="288" t="s">
        <v>496</v>
      </c>
      <c r="D208" s="370">
        <v>33649822</v>
      </c>
      <c r="E208" s="371"/>
      <c r="F208" s="290" t="s">
        <v>173</v>
      </c>
      <c r="G208" s="291">
        <v>19600</v>
      </c>
    </row>
    <row r="209" spans="2:7" ht="63">
      <c r="B209" s="370">
        <v>2</v>
      </c>
      <c r="C209" s="288" t="s">
        <v>497</v>
      </c>
      <c r="D209" s="370">
        <v>33649823</v>
      </c>
      <c r="E209" s="371"/>
      <c r="F209" s="290" t="s">
        <v>173</v>
      </c>
      <c r="G209" s="291">
        <v>19600</v>
      </c>
    </row>
    <row r="210" spans="2:7" ht="63">
      <c r="B210" s="370">
        <v>3</v>
      </c>
      <c r="C210" s="288" t="s">
        <v>498</v>
      </c>
      <c r="D210" s="370">
        <v>33649824</v>
      </c>
      <c r="E210" s="371"/>
      <c r="F210" s="290" t="s">
        <v>173</v>
      </c>
      <c r="G210" s="291">
        <v>19200</v>
      </c>
    </row>
    <row r="211" spans="2:7" ht="63">
      <c r="B211" s="370">
        <v>4</v>
      </c>
      <c r="C211" s="288" t="s">
        <v>499</v>
      </c>
      <c r="D211" s="370">
        <v>33649825</v>
      </c>
      <c r="E211" s="371"/>
      <c r="F211" s="290" t="s">
        <v>173</v>
      </c>
      <c r="G211" s="291">
        <v>19200</v>
      </c>
    </row>
    <row r="212" spans="2:7" ht="63">
      <c r="B212" s="370">
        <v>5</v>
      </c>
      <c r="C212" s="288" t="s">
        <v>500</v>
      </c>
      <c r="D212" s="370">
        <v>33746801</v>
      </c>
      <c r="E212" s="371"/>
      <c r="F212" s="290" t="s">
        <v>173</v>
      </c>
      <c r="G212" s="291">
        <v>19200</v>
      </c>
    </row>
    <row r="213" spans="2:7" ht="63">
      <c r="B213" s="370">
        <v>6</v>
      </c>
      <c r="C213" s="288" t="s">
        <v>503</v>
      </c>
      <c r="D213" s="370">
        <v>33746802</v>
      </c>
      <c r="E213" s="371"/>
      <c r="F213" s="290" t="s">
        <v>173</v>
      </c>
      <c r="G213" s="291">
        <v>29400</v>
      </c>
    </row>
    <row r="214" spans="2:7" ht="63">
      <c r="B214" s="370">
        <v>7</v>
      </c>
      <c r="C214" s="288" t="s">
        <v>502</v>
      </c>
      <c r="D214" s="370">
        <v>33746803</v>
      </c>
      <c r="E214" s="371"/>
      <c r="F214" s="290" t="s">
        <v>173</v>
      </c>
      <c r="G214" s="291">
        <v>19800</v>
      </c>
    </row>
    <row r="215" spans="2:7" ht="15.75">
      <c r="B215" s="430" t="s">
        <v>172</v>
      </c>
      <c r="C215" s="430"/>
      <c r="D215" s="430"/>
      <c r="E215" s="430"/>
      <c r="F215" s="430"/>
      <c r="G215" s="303">
        <f>SUM(G208:G214)</f>
        <v>146000</v>
      </c>
    </row>
    <row r="223" spans="2:7" ht="16.5" thickBot="1">
      <c r="C223" s="304" t="s">
        <v>273</v>
      </c>
      <c r="E223" s="440"/>
      <c r="F223" s="440"/>
      <c r="G223" s="440"/>
    </row>
    <row r="224" spans="2:7" ht="15.75">
      <c r="C224" s="372" t="s">
        <v>209</v>
      </c>
      <c r="E224" s="431" t="s">
        <v>207</v>
      </c>
      <c r="F224" s="431"/>
      <c r="G224" s="431"/>
    </row>
    <row r="225" spans="3:7" ht="15.75">
      <c r="C225" s="285"/>
    </row>
    <row r="226" spans="3:7" ht="15.75">
      <c r="C226" s="285"/>
    </row>
    <row r="227" spans="3:7" ht="15.75">
      <c r="C227" s="285"/>
    </row>
    <row r="228" spans="3:7" ht="15.75">
      <c r="C228" s="285"/>
    </row>
    <row r="229" spans="3:7" ht="15.75">
      <c r="C229" s="285"/>
    </row>
    <row r="230" spans="3:7" ht="15.75">
      <c r="C230" s="285"/>
    </row>
    <row r="231" spans="3:7" ht="16.5" thickBot="1">
      <c r="C231" s="304" t="s">
        <v>273</v>
      </c>
      <c r="E231" s="440"/>
      <c r="F231" s="440"/>
      <c r="G231" s="440"/>
    </row>
    <row r="232" spans="3:7" ht="15.75">
      <c r="C232" s="372" t="s">
        <v>208</v>
      </c>
      <c r="E232" s="432" t="s">
        <v>175</v>
      </c>
      <c r="F232" s="432"/>
      <c r="G232" s="432"/>
    </row>
    <row r="241" spans="2:7" ht="15.75">
      <c r="B241" s="430" t="s">
        <v>206</v>
      </c>
      <c r="C241" s="430"/>
      <c r="D241" s="430"/>
      <c r="E241" s="430"/>
      <c r="F241" s="430"/>
      <c r="G241" s="430"/>
    </row>
    <row r="242" spans="2:7" ht="15.75">
      <c r="B242" s="437" t="s">
        <v>513</v>
      </c>
      <c r="C242" s="438"/>
      <c r="D242" s="438"/>
      <c r="E242" s="438"/>
      <c r="F242" s="438"/>
      <c r="G242" s="439"/>
    </row>
    <row r="243" spans="2:7" ht="15.75">
      <c r="B243" s="286" t="s">
        <v>167</v>
      </c>
      <c r="C243" s="286" t="s">
        <v>169</v>
      </c>
      <c r="D243" s="286" t="s">
        <v>170</v>
      </c>
      <c r="E243" s="286" t="s">
        <v>174</v>
      </c>
      <c r="F243" s="286" t="s">
        <v>171</v>
      </c>
      <c r="G243" s="286" t="s">
        <v>168</v>
      </c>
    </row>
    <row r="244" spans="2:7" ht="63">
      <c r="B244" s="379">
        <v>1</v>
      </c>
      <c r="C244" s="288" t="s">
        <v>514</v>
      </c>
      <c r="D244" s="379"/>
      <c r="E244" s="380"/>
      <c r="F244" s="290" t="s">
        <v>173</v>
      </c>
      <c r="G244" s="291">
        <v>15600</v>
      </c>
    </row>
    <row r="245" spans="2:7" ht="15.75">
      <c r="B245" s="430" t="s">
        <v>172</v>
      </c>
      <c r="C245" s="430"/>
      <c r="D245" s="430"/>
      <c r="E245" s="430"/>
      <c r="F245" s="430"/>
      <c r="G245" s="303">
        <f>G244</f>
        <v>15600</v>
      </c>
    </row>
    <row r="246" spans="2:7">
      <c r="B246" s="383"/>
      <c r="C246" s="383"/>
      <c r="D246" s="383"/>
      <c r="E246" s="383"/>
      <c r="F246" s="383"/>
      <c r="G246" s="383"/>
    </row>
    <row r="247" spans="2:7">
      <c r="B247" s="383"/>
      <c r="C247" s="383"/>
      <c r="D247" s="383"/>
      <c r="E247" s="383"/>
      <c r="F247" s="383"/>
      <c r="G247" s="383"/>
    </row>
    <row r="248" spans="2:7">
      <c r="B248" s="383"/>
      <c r="C248" s="383"/>
      <c r="D248" s="383"/>
      <c r="E248" s="383"/>
      <c r="F248" s="383"/>
      <c r="G248" s="383"/>
    </row>
    <row r="249" spans="2:7">
      <c r="B249" s="383"/>
      <c r="C249" s="383"/>
      <c r="D249" s="383"/>
      <c r="E249" s="383"/>
      <c r="F249" s="383"/>
      <c r="G249" s="383"/>
    </row>
    <row r="250" spans="2:7" ht="15.75">
      <c r="B250" s="285"/>
      <c r="C250" s="304" t="s">
        <v>273</v>
      </c>
      <c r="D250" s="285"/>
      <c r="E250" s="302" t="s">
        <v>319</v>
      </c>
      <c r="F250" s="302"/>
      <c r="G250" s="305"/>
    </row>
    <row r="251" spans="2:7" ht="15.75">
      <c r="B251" s="285"/>
      <c r="C251" s="382" t="s">
        <v>209</v>
      </c>
      <c r="D251" s="307"/>
      <c r="E251" s="431" t="s">
        <v>207</v>
      </c>
      <c r="F251" s="431"/>
      <c r="G251" s="431"/>
    </row>
    <row r="252" spans="2:7" ht="15.75">
      <c r="B252" s="285"/>
      <c r="C252" s="285"/>
      <c r="D252" s="285"/>
      <c r="E252" s="285"/>
      <c r="F252" s="285"/>
      <c r="G252" s="285"/>
    </row>
    <row r="253" spans="2:7" ht="15.75">
      <c r="B253" s="285"/>
      <c r="C253" s="285"/>
      <c r="D253" s="285"/>
      <c r="E253" s="285"/>
      <c r="F253" s="285"/>
      <c r="G253" s="285"/>
    </row>
    <row r="254" spans="2:7" ht="15.75">
      <c r="B254" s="285"/>
      <c r="C254" s="285"/>
      <c r="D254" s="285"/>
      <c r="E254" s="285"/>
      <c r="F254" s="285"/>
      <c r="G254" s="285"/>
    </row>
    <row r="255" spans="2:7" ht="15.75">
      <c r="B255" s="285"/>
      <c r="C255" s="285"/>
      <c r="D255" s="285"/>
      <c r="E255" s="285"/>
      <c r="F255" s="285"/>
      <c r="G255" s="285"/>
    </row>
    <row r="256" spans="2:7" ht="15.75">
      <c r="B256" s="285"/>
      <c r="C256" s="285"/>
      <c r="D256" s="285"/>
      <c r="E256" s="285"/>
      <c r="F256" s="285"/>
      <c r="G256" s="285"/>
    </row>
    <row r="257" spans="2:7" ht="15.75">
      <c r="B257" s="285"/>
      <c r="C257" s="285"/>
      <c r="D257" s="285"/>
      <c r="E257" s="285"/>
      <c r="F257" s="285"/>
      <c r="G257" s="285"/>
    </row>
    <row r="258" spans="2:7" ht="15.75">
      <c r="B258" s="285"/>
      <c r="C258" s="304" t="s">
        <v>273</v>
      </c>
      <c r="D258" s="302"/>
      <c r="E258" s="302" t="s">
        <v>319</v>
      </c>
      <c r="F258" s="302"/>
      <c r="G258" s="305"/>
    </row>
    <row r="259" spans="2:7" ht="15.75">
      <c r="B259" s="285"/>
      <c r="C259" s="382" t="s">
        <v>208</v>
      </c>
      <c r="D259" s="381"/>
      <c r="E259" s="432" t="s">
        <v>175</v>
      </c>
      <c r="F259" s="432"/>
      <c r="G259" s="285"/>
    </row>
    <row r="260" spans="2:7">
      <c r="B260" s="383"/>
      <c r="C260" s="383"/>
      <c r="D260" s="383"/>
      <c r="E260" s="383"/>
      <c r="F260" s="383"/>
      <c r="G260" s="383"/>
    </row>
    <row r="264" spans="2:7" ht="15.75">
      <c r="B264" s="430" t="s">
        <v>206</v>
      </c>
      <c r="C264" s="430"/>
      <c r="D264" s="430"/>
      <c r="E264" s="430"/>
      <c r="F264" s="430"/>
      <c r="G264" s="430"/>
    </row>
    <row r="265" spans="2:7" ht="15.75">
      <c r="B265" s="437" t="s">
        <v>515</v>
      </c>
      <c r="C265" s="438"/>
      <c r="D265" s="438"/>
      <c r="E265" s="438"/>
      <c r="F265" s="438"/>
      <c r="G265" s="439"/>
    </row>
    <row r="266" spans="2:7" ht="15.75">
      <c r="B266" s="286" t="s">
        <v>167</v>
      </c>
      <c r="C266" s="286" t="s">
        <v>169</v>
      </c>
      <c r="D266" s="286" t="s">
        <v>170</v>
      </c>
      <c r="E266" s="286" t="s">
        <v>174</v>
      </c>
      <c r="F266" s="286" t="s">
        <v>171</v>
      </c>
      <c r="G266" s="286" t="s">
        <v>168</v>
      </c>
    </row>
    <row r="267" spans="2:7" ht="63">
      <c r="B267" s="379">
        <v>1</v>
      </c>
      <c r="C267" s="288" t="s">
        <v>516</v>
      </c>
      <c r="D267" s="379"/>
      <c r="E267" s="380"/>
      <c r="F267" s="290" t="s">
        <v>173</v>
      </c>
      <c r="G267" s="291">
        <v>15000</v>
      </c>
    </row>
    <row r="268" spans="2:7" ht="15.75">
      <c r="B268" s="430" t="s">
        <v>172</v>
      </c>
      <c r="C268" s="430"/>
      <c r="D268" s="430"/>
      <c r="E268" s="430"/>
      <c r="F268" s="430"/>
      <c r="G268" s="303">
        <f>G267</f>
        <v>15000</v>
      </c>
    </row>
    <row r="269" spans="2:7">
      <c r="B269" s="383"/>
      <c r="C269" s="383"/>
      <c r="D269" s="383"/>
      <c r="E269" s="383"/>
      <c r="F269" s="383"/>
      <c r="G269" s="383"/>
    </row>
    <row r="270" spans="2:7">
      <c r="B270" s="383"/>
      <c r="C270" s="383"/>
      <c r="D270" s="383"/>
      <c r="E270" s="383"/>
      <c r="F270" s="383"/>
      <c r="G270" s="383"/>
    </row>
    <row r="271" spans="2:7">
      <c r="B271" s="383"/>
      <c r="C271" s="383"/>
      <c r="D271" s="383"/>
      <c r="E271" s="383"/>
      <c r="F271" s="383"/>
      <c r="G271" s="383"/>
    </row>
    <row r="272" spans="2:7">
      <c r="B272" s="383"/>
      <c r="C272" s="383"/>
      <c r="D272" s="383"/>
      <c r="E272" s="383"/>
      <c r="F272" s="383"/>
      <c r="G272" s="383"/>
    </row>
    <row r="273" spans="2:7" ht="15.75">
      <c r="B273" s="285"/>
      <c r="C273" s="304" t="s">
        <v>273</v>
      </c>
      <c r="D273" s="285"/>
      <c r="E273" s="302" t="s">
        <v>319</v>
      </c>
      <c r="F273" s="302"/>
      <c r="G273" s="305"/>
    </row>
    <row r="274" spans="2:7" ht="15.75">
      <c r="B274" s="285"/>
      <c r="C274" s="382" t="s">
        <v>209</v>
      </c>
      <c r="D274" s="307"/>
      <c r="E274" s="431" t="s">
        <v>207</v>
      </c>
      <c r="F274" s="431"/>
      <c r="G274" s="431"/>
    </row>
    <row r="275" spans="2:7" ht="15.75">
      <c r="B275" s="285"/>
      <c r="C275" s="285"/>
      <c r="D275" s="285"/>
      <c r="E275" s="285"/>
      <c r="F275" s="285"/>
      <c r="G275" s="285"/>
    </row>
    <row r="276" spans="2:7" ht="15.75">
      <c r="B276" s="285"/>
      <c r="C276" s="285"/>
      <c r="D276" s="285"/>
      <c r="E276" s="285"/>
      <c r="F276" s="285"/>
      <c r="G276" s="285"/>
    </row>
    <row r="277" spans="2:7" ht="15.75">
      <c r="B277" s="285"/>
      <c r="C277" s="285"/>
      <c r="D277" s="285"/>
      <c r="E277" s="285"/>
      <c r="F277" s="285"/>
      <c r="G277" s="285"/>
    </row>
    <row r="278" spans="2:7" ht="15.75">
      <c r="B278" s="285"/>
      <c r="C278" s="285"/>
      <c r="D278" s="285"/>
      <c r="E278" s="285"/>
      <c r="F278" s="285"/>
      <c r="G278" s="285"/>
    </row>
    <row r="279" spans="2:7" ht="15.75">
      <c r="B279" s="285"/>
      <c r="C279" s="285"/>
      <c r="D279" s="285"/>
      <c r="E279" s="285"/>
      <c r="F279" s="285"/>
      <c r="G279" s="285"/>
    </row>
    <row r="280" spans="2:7" ht="15.75">
      <c r="B280" s="285"/>
      <c r="C280" s="285"/>
      <c r="D280" s="285"/>
      <c r="E280" s="285"/>
      <c r="F280" s="285"/>
      <c r="G280" s="285"/>
    </row>
    <row r="281" spans="2:7" ht="15.75">
      <c r="B281" s="285"/>
      <c r="C281" s="304" t="s">
        <v>273</v>
      </c>
      <c r="D281" s="302"/>
      <c r="E281" s="302" t="s">
        <v>319</v>
      </c>
      <c r="F281" s="302"/>
      <c r="G281" s="305"/>
    </row>
    <row r="282" spans="2:7" ht="15.75">
      <c r="B282" s="285"/>
      <c r="C282" s="382" t="s">
        <v>208</v>
      </c>
      <c r="D282" s="381"/>
      <c r="E282" s="432" t="s">
        <v>175</v>
      </c>
      <c r="F282" s="432"/>
      <c r="G282" s="285"/>
    </row>
  </sheetData>
  <mergeCells count="61">
    <mergeCell ref="B264:G264"/>
    <mergeCell ref="B265:G265"/>
    <mergeCell ref="B268:F268"/>
    <mergeCell ref="E274:G274"/>
    <mergeCell ref="E282:F282"/>
    <mergeCell ref="B241:G241"/>
    <mergeCell ref="B242:G242"/>
    <mergeCell ref="B245:F245"/>
    <mergeCell ref="E251:G251"/>
    <mergeCell ref="E259:F259"/>
    <mergeCell ref="E59:G59"/>
    <mergeCell ref="J4:O4"/>
    <mergeCell ref="J16:N16"/>
    <mergeCell ref="L17:O17"/>
    <mergeCell ref="M24:N24"/>
    <mergeCell ref="M25:N25"/>
    <mergeCell ref="J37:O37"/>
    <mergeCell ref="J48:N48"/>
    <mergeCell ref="M59:O59"/>
    <mergeCell ref="B16:F16"/>
    <mergeCell ref="M33:N33"/>
    <mergeCell ref="D17:G17"/>
    <mergeCell ref="E24:F24"/>
    <mergeCell ref="E25:F25"/>
    <mergeCell ref="E32:F32"/>
    <mergeCell ref="M32:N32"/>
    <mergeCell ref="M67:N67"/>
    <mergeCell ref="E156:F156"/>
    <mergeCell ref="J99:O99"/>
    <mergeCell ref="J100:O100"/>
    <mergeCell ref="J109:N109"/>
    <mergeCell ref="E86:G86"/>
    <mergeCell ref="E94:F94"/>
    <mergeCell ref="E67:F67"/>
    <mergeCell ref="B73:G73"/>
    <mergeCell ref="B74:G74"/>
    <mergeCell ref="E148:G148"/>
    <mergeCell ref="B99:G99"/>
    <mergeCell ref="E33:F33"/>
    <mergeCell ref="B37:G37"/>
    <mergeCell ref="B48:F48"/>
    <mergeCell ref="E179:G179"/>
    <mergeCell ref="E187:F187"/>
    <mergeCell ref="B77:F77"/>
    <mergeCell ref="B109:F109"/>
    <mergeCell ref="B145:F145"/>
    <mergeCell ref="B173:F173"/>
    <mergeCell ref="B100:G100"/>
    <mergeCell ref="B135:G135"/>
    <mergeCell ref="B136:G136"/>
    <mergeCell ref="B169:G169"/>
    <mergeCell ref="B170:G170"/>
    <mergeCell ref="E113:G113"/>
    <mergeCell ref="E121:F121"/>
    <mergeCell ref="B205:G205"/>
    <mergeCell ref="B206:G206"/>
    <mergeCell ref="B215:F215"/>
    <mergeCell ref="E224:G224"/>
    <mergeCell ref="E232:G232"/>
    <mergeCell ref="E223:G223"/>
    <mergeCell ref="E231:G231"/>
  </mergeCells>
  <pageMargins left="0.25" right="0.25" top="0.75" bottom="0.75" header="0.3" footer="0.3"/>
  <pageSetup paperSize="9" scale="8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99"/>
  <sheetViews>
    <sheetView topLeftCell="A25" zoomScaleNormal="100" workbookViewId="0">
      <selection activeCell="F54" sqref="F54"/>
    </sheetView>
  </sheetViews>
  <sheetFormatPr defaultRowHeight="15"/>
  <cols>
    <col min="2" max="2" width="16" style="383" customWidth="1"/>
    <col min="3" max="3" width="8.140625" bestFit="1" customWidth="1"/>
    <col min="4" max="4" width="20.28515625" bestFit="1" customWidth="1"/>
    <col min="5" max="5" width="12.42578125" bestFit="1" customWidth="1"/>
    <col min="6" max="6" width="38.42578125" customWidth="1"/>
    <col min="7" max="7" width="14.140625" bestFit="1" customWidth="1"/>
    <col min="8" max="8" width="15.5703125" bestFit="1" customWidth="1"/>
    <col min="9" max="9" width="12.42578125" style="353" bestFit="1" customWidth="1"/>
    <col min="10" max="10" width="12.42578125" style="385" bestFit="1" customWidth="1"/>
  </cols>
  <sheetData>
    <row r="1" spans="2:10" s="383" customFormat="1">
      <c r="I1" s="353"/>
      <c r="J1" s="385"/>
    </row>
    <row r="2" spans="2:10" s="383" customFormat="1">
      <c r="I2" s="353"/>
      <c r="J2" s="385"/>
    </row>
    <row r="3" spans="2:10">
      <c r="C3" s="444" t="s">
        <v>206</v>
      </c>
      <c r="D3" s="444"/>
      <c r="E3" s="444"/>
      <c r="F3" s="444"/>
      <c r="G3" s="444"/>
      <c r="H3" s="444"/>
      <c r="I3" s="444"/>
      <c r="J3" s="444"/>
    </row>
    <row r="4" spans="2:10" ht="15.75" customHeight="1">
      <c r="C4" s="444"/>
      <c r="D4" s="444"/>
      <c r="E4" s="444"/>
      <c r="F4" s="444"/>
      <c r="G4" s="444"/>
      <c r="H4" s="444"/>
      <c r="I4" s="444"/>
      <c r="J4" s="444"/>
    </row>
    <row r="5" spans="2:10" s="383" customFormat="1" ht="15.75" customHeight="1">
      <c r="C5" s="445" t="s">
        <v>508</v>
      </c>
      <c r="D5" s="445"/>
      <c r="E5" s="445"/>
      <c r="F5" s="445"/>
      <c r="G5" s="445"/>
      <c r="H5" s="445"/>
      <c r="I5" s="445"/>
      <c r="J5" s="445"/>
    </row>
    <row r="6" spans="2:10" ht="21" customHeight="1">
      <c r="C6" s="445"/>
      <c r="D6" s="445"/>
      <c r="E6" s="445"/>
      <c r="F6" s="445"/>
      <c r="G6" s="445"/>
      <c r="H6" s="445"/>
      <c r="I6" s="445"/>
      <c r="J6" s="445"/>
    </row>
    <row r="7" spans="2:10" ht="15.75" customHeight="1">
      <c r="C7" s="416" t="s">
        <v>161</v>
      </c>
      <c r="D7" s="416" t="s">
        <v>0</v>
      </c>
      <c r="E7" s="416" t="s">
        <v>160</v>
      </c>
      <c r="F7" s="415" t="s">
        <v>46</v>
      </c>
      <c r="G7" s="446" t="s">
        <v>517</v>
      </c>
      <c r="H7" s="446" t="s">
        <v>174</v>
      </c>
      <c r="I7" s="447" t="s">
        <v>518</v>
      </c>
      <c r="J7" s="447" t="s">
        <v>168</v>
      </c>
    </row>
    <row r="8" spans="2:10" ht="15" customHeight="1">
      <c r="C8" s="416"/>
      <c r="D8" s="416"/>
      <c r="E8" s="416"/>
      <c r="F8" s="415"/>
      <c r="G8" s="446"/>
      <c r="H8" s="446"/>
      <c r="I8" s="447"/>
      <c r="J8" s="447"/>
    </row>
    <row r="9" spans="2:10">
      <c r="C9" s="448">
        <v>1</v>
      </c>
      <c r="D9" s="413" t="s">
        <v>520</v>
      </c>
      <c r="E9" s="378" t="s">
        <v>521</v>
      </c>
      <c r="F9" s="378" t="s">
        <v>523</v>
      </c>
      <c r="G9" s="134"/>
      <c r="H9" s="134"/>
      <c r="I9" s="131" t="s">
        <v>519</v>
      </c>
      <c r="J9" s="386">
        <v>40000</v>
      </c>
    </row>
    <row r="10" spans="2:10">
      <c r="C10" s="450"/>
      <c r="D10" s="413"/>
      <c r="E10" s="378" t="s">
        <v>522</v>
      </c>
      <c r="F10" s="378" t="s">
        <v>524</v>
      </c>
      <c r="G10" s="451" t="s">
        <v>525</v>
      </c>
      <c r="H10" s="452"/>
      <c r="I10" s="453"/>
      <c r="J10" s="386">
        <v>0</v>
      </c>
    </row>
    <row r="11" spans="2:10">
      <c r="C11" s="378">
        <v>2</v>
      </c>
      <c r="D11" s="378" t="s">
        <v>526</v>
      </c>
      <c r="E11" s="378" t="s">
        <v>527</v>
      </c>
      <c r="F11" s="378" t="s">
        <v>528</v>
      </c>
      <c r="G11" s="134"/>
      <c r="H11" s="134"/>
      <c r="I11" s="131"/>
      <c r="J11" s="386">
        <v>15000</v>
      </c>
    </row>
    <row r="12" spans="2:10" s="383" customFormat="1">
      <c r="B12" s="384"/>
      <c r="C12" s="378">
        <v>3</v>
      </c>
      <c r="D12" s="378" t="s">
        <v>513</v>
      </c>
      <c r="E12" s="378" t="s">
        <v>529</v>
      </c>
      <c r="F12" s="378" t="s">
        <v>530</v>
      </c>
      <c r="G12" s="134"/>
      <c r="H12" s="134"/>
      <c r="I12" s="131"/>
      <c r="J12" s="386">
        <v>15600</v>
      </c>
    </row>
    <row r="13" spans="2:10">
      <c r="C13" s="448">
        <v>4</v>
      </c>
      <c r="D13" s="448" t="s">
        <v>357</v>
      </c>
      <c r="E13" s="378" t="s">
        <v>531</v>
      </c>
      <c r="F13" s="378" t="s">
        <v>535</v>
      </c>
      <c r="G13" s="451" t="s">
        <v>525</v>
      </c>
      <c r="H13" s="452"/>
      <c r="I13" s="453"/>
      <c r="J13" s="386">
        <v>0</v>
      </c>
    </row>
    <row r="14" spans="2:10">
      <c r="C14" s="449"/>
      <c r="D14" s="449"/>
      <c r="E14" s="378" t="s">
        <v>532</v>
      </c>
      <c r="F14" s="378" t="s">
        <v>536</v>
      </c>
      <c r="G14" s="134"/>
      <c r="H14" s="134"/>
      <c r="I14" s="131"/>
      <c r="J14" s="386">
        <v>5206</v>
      </c>
    </row>
    <row r="15" spans="2:10">
      <c r="C15" s="449"/>
      <c r="D15" s="449"/>
      <c r="E15" s="378" t="s">
        <v>533</v>
      </c>
      <c r="F15" s="378" t="s">
        <v>537</v>
      </c>
      <c r="G15" s="451" t="s">
        <v>525</v>
      </c>
      <c r="H15" s="452"/>
      <c r="I15" s="453"/>
      <c r="J15" s="386">
        <v>0</v>
      </c>
    </row>
    <row r="16" spans="2:10">
      <c r="C16" s="450"/>
      <c r="D16" s="450"/>
      <c r="E16" s="378" t="s">
        <v>534</v>
      </c>
      <c r="F16" s="378" t="s">
        <v>433</v>
      </c>
      <c r="G16" s="134"/>
      <c r="H16" s="134"/>
      <c r="I16" s="131"/>
      <c r="J16" s="386">
        <v>5423</v>
      </c>
    </row>
    <row r="17" spans="3:10">
      <c r="C17" s="448">
        <v>5</v>
      </c>
      <c r="D17" s="413" t="s">
        <v>4</v>
      </c>
      <c r="E17" s="378" t="s">
        <v>146</v>
      </c>
      <c r="F17" s="378" t="s">
        <v>17</v>
      </c>
      <c r="G17" s="134"/>
      <c r="H17" s="134"/>
      <c r="I17" s="131"/>
      <c r="J17" s="386">
        <v>9600</v>
      </c>
    </row>
    <row r="18" spans="3:10">
      <c r="C18" s="449"/>
      <c r="D18" s="413"/>
      <c r="E18" s="378" t="s">
        <v>147</v>
      </c>
      <c r="F18" s="378" t="s">
        <v>18</v>
      </c>
      <c r="G18" s="134"/>
      <c r="H18" s="134"/>
      <c r="I18" s="131"/>
      <c r="J18" s="386">
        <v>9600</v>
      </c>
    </row>
    <row r="19" spans="3:10">
      <c r="C19" s="449"/>
      <c r="D19" s="413"/>
      <c r="E19" s="378" t="s">
        <v>148</v>
      </c>
      <c r="F19" s="378" t="s">
        <v>19</v>
      </c>
      <c r="G19" s="134"/>
      <c r="H19" s="134"/>
      <c r="I19" s="131"/>
      <c r="J19" s="386">
        <v>9600</v>
      </c>
    </row>
    <row r="20" spans="3:10">
      <c r="C20" s="449"/>
      <c r="D20" s="413"/>
      <c r="E20" s="378" t="s">
        <v>149</v>
      </c>
      <c r="F20" s="378" t="s">
        <v>20</v>
      </c>
      <c r="G20" s="134"/>
      <c r="H20" s="134"/>
      <c r="I20" s="131"/>
      <c r="J20" s="386">
        <v>11800</v>
      </c>
    </row>
    <row r="21" spans="3:10">
      <c r="C21" s="449"/>
      <c r="D21" s="413"/>
      <c r="E21" s="378" t="s">
        <v>150</v>
      </c>
      <c r="F21" s="378" t="s">
        <v>20</v>
      </c>
      <c r="G21" s="134"/>
      <c r="H21" s="134"/>
      <c r="I21" s="131"/>
      <c r="J21" s="386">
        <v>11800</v>
      </c>
    </row>
    <row r="22" spans="3:10">
      <c r="C22" s="449"/>
      <c r="D22" s="413"/>
      <c r="E22" s="378" t="s">
        <v>151</v>
      </c>
      <c r="F22" s="378" t="s">
        <v>21</v>
      </c>
      <c r="G22" s="134"/>
      <c r="H22" s="134"/>
      <c r="I22" s="131"/>
      <c r="J22" s="386">
        <v>9600</v>
      </c>
    </row>
    <row r="23" spans="3:10">
      <c r="C23" s="450"/>
      <c r="D23" s="413"/>
      <c r="E23" s="378" t="s">
        <v>153</v>
      </c>
      <c r="F23" s="378" t="s">
        <v>22</v>
      </c>
      <c r="G23" s="134"/>
      <c r="H23" s="134"/>
      <c r="I23" s="131"/>
      <c r="J23" s="386">
        <v>9600</v>
      </c>
    </row>
    <row r="24" spans="3:10">
      <c r="C24" s="378">
        <v>6</v>
      </c>
      <c r="D24" s="378" t="s">
        <v>55</v>
      </c>
      <c r="E24" s="378" t="s">
        <v>144</v>
      </c>
      <c r="F24" s="378" t="s">
        <v>33</v>
      </c>
      <c r="G24" s="134"/>
      <c r="H24" s="134"/>
      <c r="I24" s="131"/>
      <c r="J24" s="386">
        <v>28800</v>
      </c>
    </row>
    <row r="25" spans="3:10" ht="15.75">
      <c r="C25" s="441" t="s">
        <v>467</v>
      </c>
      <c r="D25" s="442"/>
      <c r="E25" s="442"/>
      <c r="F25" s="442"/>
      <c r="G25" s="442"/>
      <c r="H25" s="442"/>
      <c r="I25" s="443"/>
      <c r="J25" s="387">
        <f>SUM(J9:J24)</f>
        <v>181629</v>
      </c>
    </row>
    <row r="33" spans="3:11">
      <c r="C33" s="444" t="s">
        <v>206</v>
      </c>
      <c r="D33" s="444"/>
      <c r="E33" s="444"/>
      <c r="F33" s="444"/>
      <c r="G33" s="444"/>
      <c r="H33" s="444"/>
      <c r="I33" s="444"/>
      <c r="J33" s="444"/>
    </row>
    <row r="34" spans="3:11">
      <c r="C34" s="444"/>
      <c r="D34" s="444"/>
      <c r="E34" s="444"/>
      <c r="F34" s="444"/>
      <c r="G34" s="444"/>
      <c r="H34" s="444"/>
      <c r="I34" s="444"/>
      <c r="J34" s="444"/>
    </row>
    <row r="35" spans="3:11">
      <c r="C35" s="445" t="s">
        <v>538</v>
      </c>
      <c r="D35" s="445"/>
      <c r="E35" s="445"/>
      <c r="F35" s="445"/>
      <c r="G35" s="445"/>
      <c r="H35" s="445"/>
      <c r="I35" s="445"/>
      <c r="J35" s="445"/>
    </row>
    <row r="36" spans="3:11">
      <c r="C36" s="445"/>
      <c r="D36" s="445"/>
      <c r="E36" s="445"/>
      <c r="F36" s="445"/>
      <c r="G36" s="445"/>
      <c r="H36" s="445"/>
      <c r="I36" s="445"/>
      <c r="J36" s="445"/>
    </row>
    <row r="37" spans="3:11">
      <c r="C37" s="416" t="s">
        <v>161</v>
      </c>
      <c r="D37" s="416" t="s">
        <v>0</v>
      </c>
      <c r="E37" s="416" t="s">
        <v>160</v>
      </c>
      <c r="F37" s="415" t="s">
        <v>46</v>
      </c>
      <c r="G37" s="446" t="s">
        <v>517</v>
      </c>
      <c r="H37" s="446" t="s">
        <v>174</v>
      </c>
      <c r="I37" s="447" t="s">
        <v>518</v>
      </c>
      <c r="J37" s="447" t="s">
        <v>168</v>
      </c>
    </row>
    <row r="38" spans="3:11">
      <c r="C38" s="416"/>
      <c r="D38" s="416"/>
      <c r="E38" s="416"/>
      <c r="F38" s="415"/>
      <c r="G38" s="446"/>
      <c r="H38" s="446"/>
      <c r="I38" s="447"/>
      <c r="J38" s="447"/>
    </row>
    <row r="39" spans="3:11">
      <c r="C39" s="448">
        <v>1</v>
      </c>
      <c r="D39" s="413" t="s">
        <v>520</v>
      </c>
      <c r="E39" s="378" t="s">
        <v>521</v>
      </c>
      <c r="F39" s="378" t="s">
        <v>523</v>
      </c>
      <c r="G39" s="134"/>
      <c r="H39" s="134"/>
      <c r="I39" s="131"/>
      <c r="J39" s="386">
        <v>40000</v>
      </c>
      <c r="K39">
        <v>0</v>
      </c>
    </row>
    <row r="40" spans="3:11">
      <c r="C40" s="450"/>
      <c r="D40" s="413"/>
      <c r="E40" s="378" t="s">
        <v>522</v>
      </c>
      <c r="F40" s="378" t="s">
        <v>524</v>
      </c>
      <c r="H40" s="451" t="s">
        <v>525</v>
      </c>
      <c r="I40" s="453"/>
      <c r="J40" s="386">
        <v>40000</v>
      </c>
      <c r="K40">
        <v>0</v>
      </c>
    </row>
    <row r="41" spans="3:11">
      <c r="C41" s="378">
        <v>2</v>
      </c>
      <c r="D41" s="378" t="s">
        <v>526</v>
      </c>
      <c r="E41" s="378" t="s">
        <v>527</v>
      </c>
      <c r="F41" s="378" t="s">
        <v>528</v>
      </c>
      <c r="G41" s="134"/>
      <c r="H41" s="134"/>
      <c r="I41" s="131"/>
      <c r="J41" s="386">
        <v>15000</v>
      </c>
      <c r="K41">
        <v>0</v>
      </c>
    </row>
    <row r="42" spans="3:11">
      <c r="C42" s="378">
        <v>3</v>
      </c>
      <c r="D42" s="378" t="s">
        <v>513</v>
      </c>
      <c r="E42" s="378" t="s">
        <v>529</v>
      </c>
      <c r="F42" s="378" t="s">
        <v>530</v>
      </c>
      <c r="G42" s="134"/>
      <c r="H42" s="134"/>
      <c r="I42" s="131"/>
      <c r="J42" s="386">
        <v>15600</v>
      </c>
      <c r="K42">
        <v>0</v>
      </c>
    </row>
    <row r="43" spans="3:11">
      <c r="C43" s="448">
        <v>4</v>
      </c>
      <c r="D43" s="448" t="s">
        <v>357</v>
      </c>
      <c r="E43" s="378" t="s">
        <v>531</v>
      </c>
      <c r="F43" s="378" t="s">
        <v>535</v>
      </c>
      <c r="H43" s="451" t="s">
        <v>525</v>
      </c>
      <c r="I43" s="453"/>
      <c r="J43" s="386">
        <v>0</v>
      </c>
      <c r="K43">
        <v>0</v>
      </c>
    </row>
    <row r="44" spans="3:11">
      <c r="C44" s="449"/>
      <c r="D44" s="449"/>
      <c r="E44" s="378" t="s">
        <v>532</v>
      </c>
      <c r="F44" s="378" t="s">
        <v>536</v>
      </c>
      <c r="G44" s="134"/>
      <c r="H44" s="134"/>
      <c r="I44" s="131"/>
      <c r="J44" s="386">
        <v>5206</v>
      </c>
      <c r="K44">
        <v>0</v>
      </c>
    </row>
    <row r="45" spans="3:11">
      <c r="C45" s="449"/>
      <c r="D45" s="449"/>
      <c r="E45" s="378" t="s">
        <v>533</v>
      </c>
      <c r="F45" s="378" t="s">
        <v>537</v>
      </c>
      <c r="H45" s="451" t="s">
        <v>525</v>
      </c>
      <c r="I45" s="453"/>
      <c r="J45" s="386">
        <v>0</v>
      </c>
      <c r="K45">
        <v>0</v>
      </c>
    </row>
    <row r="46" spans="3:11">
      <c r="C46" s="450"/>
      <c r="D46" s="450"/>
      <c r="E46" s="378" t="s">
        <v>534</v>
      </c>
      <c r="F46" s="378" t="s">
        <v>433</v>
      </c>
      <c r="G46" s="134"/>
      <c r="H46" s="134"/>
      <c r="I46" s="131"/>
      <c r="J46" s="386">
        <v>5423</v>
      </c>
      <c r="K46">
        <v>0</v>
      </c>
    </row>
    <row r="47" spans="3:11">
      <c r="C47" s="448">
        <v>5</v>
      </c>
      <c r="D47" s="413" t="s">
        <v>4</v>
      </c>
      <c r="E47" s="378" t="s">
        <v>146</v>
      </c>
      <c r="F47" s="378" t="s">
        <v>17</v>
      </c>
      <c r="G47" s="134"/>
      <c r="H47" s="451" t="s">
        <v>525</v>
      </c>
      <c r="I47" s="453"/>
      <c r="J47" s="386">
        <v>14400</v>
      </c>
      <c r="K47">
        <v>0</v>
      </c>
    </row>
    <row r="48" spans="3:11">
      <c r="C48" s="449"/>
      <c r="D48" s="413"/>
      <c r="E48" s="378" t="s">
        <v>147</v>
      </c>
      <c r="F48" s="378" t="s">
        <v>18</v>
      </c>
      <c r="G48" s="134"/>
      <c r="H48" s="134"/>
      <c r="I48" s="131"/>
      <c r="J48" s="386">
        <v>14400</v>
      </c>
      <c r="K48">
        <v>0</v>
      </c>
    </row>
    <row r="49" spans="3:11">
      <c r="C49" s="449"/>
      <c r="D49" s="413"/>
      <c r="E49" s="378" t="s">
        <v>148</v>
      </c>
      <c r="F49" s="378" t="s">
        <v>19</v>
      </c>
      <c r="G49" s="134"/>
      <c r="H49" s="134"/>
      <c r="I49" s="131"/>
      <c r="J49" s="386">
        <v>14400</v>
      </c>
      <c r="K49">
        <v>0</v>
      </c>
    </row>
    <row r="50" spans="3:11">
      <c r="C50" s="449"/>
      <c r="D50" s="413"/>
      <c r="E50" s="378" t="s">
        <v>149</v>
      </c>
      <c r="F50" s="378" t="s">
        <v>20</v>
      </c>
      <c r="G50" s="134"/>
      <c r="H50" s="451" t="s">
        <v>525</v>
      </c>
      <c r="I50" s="453"/>
      <c r="J50" s="386">
        <v>17700</v>
      </c>
      <c r="K50">
        <v>0</v>
      </c>
    </row>
    <row r="51" spans="3:11">
      <c r="C51" s="449"/>
      <c r="D51" s="413"/>
      <c r="E51" s="378" t="s">
        <v>150</v>
      </c>
      <c r="F51" s="378" t="s">
        <v>20</v>
      </c>
      <c r="G51" s="134"/>
      <c r="H51" s="451" t="s">
        <v>525</v>
      </c>
      <c r="I51" s="453"/>
      <c r="J51" s="386">
        <v>17700</v>
      </c>
      <c r="K51">
        <v>0</v>
      </c>
    </row>
    <row r="52" spans="3:11">
      <c r="C52" s="449"/>
      <c r="D52" s="413"/>
      <c r="E52" s="378" t="s">
        <v>151</v>
      </c>
      <c r="F52" s="378" t="s">
        <v>21</v>
      </c>
      <c r="G52" s="134"/>
      <c r="H52" s="134"/>
      <c r="I52" s="131"/>
      <c r="J52" s="386">
        <v>14400</v>
      </c>
      <c r="K52">
        <v>0</v>
      </c>
    </row>
    <row r="53" spans="3:11">
      <c r="C53" s="450"/>
      <c r="D53" s="413"/>
      <c r="E53" s="378" t="s">
        <v>153</v>
      </c>
      <c r="F53" s="378" t="s">
        <v>22</v>
      </c>
      <c r="G53" s="134"/>
      <c r="H53" s="451" t="s">
        <v>525</v>
      </c>
      <c r="I53" s="453"/>
      <c r="J53" s="386">
        <v>14400</v>
      </c>
      <c r="K53">
        <v>0</v>
      </c>
    </row>
    <row r="54" spans="3:11">
      <c r="C54" s="413">
        <v>6</v>
      </c>
      <c r="D54" s="413" t="s">
        <v>540</v>
      </c>
      <c r="E54" s="378" t="s">
        <v>126</v>
      </c>
      <c r="F54" s="378" t="s">
        <v>35</v>
      </c>
      <c r="G54" s="134"/>
      <c r="H54" s="134"/>
      <c r="I54" s="131"/>
      <c r="J54" s="386">
        <v>31200</v>
      </c>
      <c r="K54">
        <v>0</v>
      </c>
    </row>
    <row r="55" spans="3:11">
      <c r="C55" s="413"/>
      <c r="D55" s="413"/>
      <c r="E55" s="378" t="s">
        <v>127</v>
      </c>
      <c r="F55" s="378" t="s">
        <v>36</v>
      </c>
      <c r="H55" s="451" t="s">
        <v>525</v>
      </c>
      <c r="I55" s="453"/>
      <c r="J55" s="386">
        <v>0</v>
      </c>
      <c r="K55">
        <v>0</v>
      </c>
    </row>
    <row r="56" spans="3:11">
      <c r="C56" s="448">
        <v>7</v>
      </c>
      <c r="D56" s="413" t="s">
        <v>53</v>
      </c>
      <c r="E56" s="378" t="s">
        <v>133</v>
      </c>
      <c r="F56" s="378" t="s">
        <v>26</v>
      </c>
      <c r="G56" s="134"/>
      <c r="H56" s="134"/>
      <c r="I56" s="131"/>
      <c r="J56" s="386">
        <v>19600</v>
      </c>
      <c r="K56">
        <v>0</v>
      </c>
    </row>
    <row r="57" spans="3:11">
      <c r="C57" s="449"/>
      <c r="D57" s="413"/>
      <c r="E57" s="378" t="s">
        <v>134</v>
      </c>
      <c r="F57" s="378" t="s">
        <v>27</v>
      </c>
      <c r="G57" s="134"/>
      <c r="H57" s="451" t="s">
        <v>525</v>
      </c>
      <c r="I57" s="453"/>
      <c r="J57" s="386">
        <v>19600</v>
      </c>
      <c r="K57">
        <v>0</v>
      </c>
    </row>
    <row r="58" spans="3:11">
      <c r="C58" s="449"/>
      <c r="D58" s="413"/>
      <c r="E58" s="378" t="s">
        <v>135</v>
      </c>
      <c r="F58" s="378" t="s">
        <v>28</v>
      </c>
      <c r="G58" s="134"/>
      <c r="H58" s="134"/>
      <c r="I58" s="131"/>
      <c r="J58" s="386">
        <v>19200</v>
      </c>
      <c r="K58">
        <v>0</v>
      </c>
    </row>
    <row r="59" spans="3:11">
      <c r="C59" s="449"/>
      <c r="D59" s="413"/>
      <c r="E59" s="378" t="s">
        <v>136</v>
      </c>
      <c r="F59" s="378" t="s">
        <v>475</v>
      </c>
      <c r="G59" s="134"/>
      <c r="H59" s="134"/>
      <c r="I59" s="131"/>
      <c r="J59" s="386">
        <v>19200</v>
      </c>
      <c r="K59">
        <v>0</v>
      </c>
    </row>
    <row r="60" spans="3:11">
      <c r="C60" s="449"/>
      <c r="D60" s="413"/>
      <c r="E60" s="378" t="s">
        <v>137</v>
      </c>
      <c r="F60" s="378" t="s">
        <v>30</v>
      </c>
      <c r="G60" s="134"/>
      <c r="H60" s="134"/>
      <c r="I60" s="131"/>
      <c r="J60" s="386">
        <v>19200</v>
      </c>
      <c r="K60">
        <v>0</v>
      </c>
    </row>
    <row r="61" spans="3:11">
      <c r="C61" s="449"/>
      <c r="D61" s="413"/>
      <c r="E61" s="378" t="s">
        <v>138</v>
      </c>
      <c r="F61" s="378" t="s">
        <v>31</v>
      </c>
      <c r="G61" s="134"/>
      <c r="H61" s="451" t="s">
        <v>525</v>
      </c>
      <c r="I61" s="453"/>
      <c r="J61" s="386">
        <v>29400</v>
      </c>
      <c r="K61">
        <v>0</v>
      </c>
    </row>
    <row r="62" spans="3:11">
      <c r="C62" s="450"/>
      <c r="D62" s="413"/>
      <c r="E62" s="378" t="s">
        <v>140</v>
      </c>
      <c r="F62" s="378" t="s">
        <v>32</v>
      </c>
      <c r="G62" s="134"/>
      <c r="H62" s="451" t="s">
        <v>525</v>
      </c>
      <c r="I62" s="453"/>
      <c r="J62" s="386">
        <v>19800</v>
      </c>
      <c r="K62">
        <v>0</v>
      </c>
    </row>
    <row r="63" spans="3:11">
      <c r="C63" s="378">
        <v>8</v>
      </c>
      <c r="D63" s="378" t="s">
        <v>55</v>
      </c>
      <c r="E63" s="378" t="s">
        <v>144</v>
      </c>
      <c r="F63" s="378" t="s">
        <v>33</v>
      </c>
      <c r="G63" s="134"/>
      <c r="H63" s="134"/>
      <c r="I63" s="131"/>
      <c r="J63" s="386">
        <v>28800</v>
      </c>
      <c r="K63">
        <v>0</v>
      </c>
    </row>
    <row r="64" spans="3:11">
      <c r="C64" s="378">
        <v>9</v>
      </c>
      <c r="D64" s="378" t="s">
        <v>539</v>
      </c>
      <c r="E64" s="388" t="s">
        <v>112</v>
      </c>
      <c r="F64" s="388" t="s">
        <v>16</v>
      </c>
      <c r="G64" s="134"/>
      <c r="H64" s="134"/>
      <c r="I64" s="131"/>
      <c r="J64" s="386">
        <v>30720</v>
      </c>
      <c r="K64">
        <v>0</v>
      </c>
    </row>
    <row r="65" spans="3:10">
      <c r="C65" s="454">
        <v>10</v>
      </c>
      <c r="D65" s="448" t="s">
        <v>370</v>
      </c>
      <c r="E65" s="388" t="s">
        <v>546</v>
      </c>
      <c r="F65" s="388" t="s">
        <v>541</v>
      </c>
      <c r="G65" s="134"/>
      <c r="H65" s="134"/>
      <c r="I65" s="131"/>
      <c r="J65" s="386">
        <v>12375</v>
      </c>
    </row>
    <row r="66" spans="3:10">
      <c r="C66" s="455"/>
      <c r="D66" s="449"/>
      <c r="E66" s="388" t="s">
        <v>547</v>
      </c>
      <c r="F66" s="388" t="s">
        <v>427</v>
      </c>
      <c r="G66" s="134"/>
      <c r="H66" s="134"/>
      <c r="I66" s="131"/>
      <c r="J66" s="386">
        <v>18375</v>
      </c>
    </row>
    <row r="67" spans="3:10">
      <c r="C67" s="455"/>
      <c r="D67" s="449"/>
      <c r="E67" s="388" t="s">
        <v>548</v>
      </c>
      <c r="F67" s="388" t="s">
        <v>542</v>
      </c>
      <c r="G67" s="134"/>
      <c r="H67" s="134"/>
      <c r="I67" s="131"/>
      <c r="J67" s="386">
        <v>12000</v>
      </c>
    </row>
    <row r="68" spans="3:10">
      <c r="C68" s="455"/>
      <c r="D68" s="449"/>
      <c r="E68" s="388" t="s">
        <v>549</v>
      </c>
      <c r="F68" s="388" t="s">
        <v>543</v>
      </c>
      <c r="G68" s="134"/>
      <c r="H68" s="134"/>
      <c r="I68" s="131"/>
      <c r="J68" s="386">
        <v>12375</v>
      </c>
    </row>
    <row r="69" spans="3:10">
      <c r="C69" s="455"/>
      <c r="D69" s="449"/>
      <c r="E69" s="388" t="s">
        <v>550</v>
      </c>
      <c r="F69" s="388" t="s">
        <v>383</v>
      </c>
      <c r="G69" s="134"/>
      <c r="H69" s="134"/>
      <c r="I69" s="131"/>
      <c r="J69" s="386">
        <v>6187</v>
      </c>
    </row>
    <row r="70" spans="3:10">
      <c r="C70" s="455"/>
      <c r="D70" s="449"/>
      <c r="E70" s="388" t="s">
        <v>551</v>
      </c>
      <c r="F70" s="388" t="s">
        <v>311</v>
      </c>
      <c r="G70" s="134"/>
      <c r="H70" s="134"/>
      <c r="I70" s="131"/>
      <c r="J70" s="386">
        <v>6187</v>
      </c>
    </row>
    <row r="71" spans="3:10">
      <c r="C71" s="455"/>
      <c r="D71" s="449"/>
      <c r="E71" s="388" t="s">
        <v>378</v>
      </c>
      <c r="F71" s="388" t="s">
        <v>435</v>
      </c>
      <c r="G71" s="134"/>
      <c r="H71" s="134"/>
      <c r="I71" s="131"/>
      <c r="J71" s="386">
        <v>12000</v>
      </c>
    </row>
    <row r="72" spans="3:10">
      <c r="C72" s="455"/>
      <c r="D72" s="449"/>
      <c r="E72" s="388" t="s">
        <v>552</v>
      </c>
      <c r="F72" s="388" t="s">
        <v>384</v>
      </c>
      <c r="G72" s="134"/>
      <c r="H72" s="134"/>
      <c r="I72" s="131"/>
      <c r="J72" s="386">
        <v>12375</v>
      </c>
    </row>
    <row r="73" spans="3:10">
      <c r="C73" s="455"/>
      <c r="D73" s="449"/>
      <c r="E73" s="388" t="s">
        <v>553</v>
      </c>
      <c r="F73" s="388" t="s">
        <v>544</v>
      </c>
      <c r="G73" s="134"/>
      <c r="H73" s="134"/>
      <c r="I73" s="131"/>
      <c r="J73" s="386">
        <v>13325</v>
      </c>
    </row>
    <row r="74" spans="3:10">
      <c r="C74" s="455"/>
      <c r="D74" s="449"/>
      <c r="E74" s="388" t="s">
        <v>556</v>
      </c>
      <c r="F74" s="388" t="s">
        <v>545</v>
      </c>
      <c r="G74" s="134"/>
      <c r="H74" s="134"/>
      <c r="I74" s="131"/>
      <c r="J74" s="386">
        <v>12250</v>
      </c>
    </row>
    <row r="75" spans="3:10">
      <c r="C75" s="455"/>
      <c r="D75" s="449"/>
      <c r="E75" s="388" t="s">
        <v>554</v>
      </c>
      <c r="F75" s="388" t="s">
        <v>429</v>
      </c>
      <c r="G75" s="134"/>
      <c r="H75" s="134"/>
      <c r="I75" s="131"/>
      <c r="J75" s="386">
        <v>6187</v>
      </c>
    </row>
    <row r="76" spans="3:10">
      <c r="C76" s="456"/>
      <c r="D76" s="450"/>
      <c r="E76" s="388" t="s">
        <v>555</v>
      </c>
      <c r="F76" s="388" t="s">
        <v>429</v>
      </c>
      <c r="G76" s="134"/>
      <c r="H76" s="134"/>
      <c r="I76" s="131"/>
      <c r="J76" s="386">
        <v>6187</v>
      </c>
    </row>
    <row r="77" spans="3:10" s="383" customFormat="1" ht="15.75">
      <c r="C77" s="441" t="s">
        <v>467</v>
      </c>
      <c r="D77" s="442"/>
      <c r="E77" s="442"/>
      <c r="F77" s="442"/>
      <c r="G77" s="442"/>
      <c r="H77" s="442"/>
      <c r="I77" s="443"/>
      <c r="J77" s="387">
        <f>SUM(J39:J76)</f>
        <v>595172</v>
      </c>
    </row>
    <row r="78" spans="3:10" s="383" customFormat="1">
      <c r="C78" s="353"/>
      <c r="E78" s="389"/>
      <c r="F78" s="389"/>
      <c r="I78" s="353"/>
      <c r="J78" s="385"/>
    </row>
    <row r="79" spans="3:10" s="383" customFormat="1">
      <c r="C79" s="353"/>
      <c r="E79" s="389"/>
      <c r="F79" s="389"/>
      <c r="I79" s="353"/>
      <c r="J79" s="385"/>
    </row>
    <row r="80" spans="3:10" s="383" customFormat="1">
      <c r="C80" s="353"/>
      <c r="E80" s="389"/>
      <c r="F80" s="389"/>
      <c r="I80" s="353"/>
      <c r="J80" s="385"/>
    </row>
    <row r="82" spans="3:10">
      <c r="J82" s="385">
        <v>12000</v>
      </c>
    </row>
    <row r="83" spans="3:10">
      <c r="J83" s="385">
        <v>18375</v>
      </c>
    </row>
    <row r="84" spans="3:10">
      <c r="J84" s="385">
        <v>30425</v>
      </c>
    </row>
    <row r="85" spans="3:10" s="244" customFormat="1">
      <c r="I85" s="393"/>
      <c r="J85" s="394"/>
    </row>
    <row r="87" spans="3:10">
      <c r="C87" s="444" t="s">
        <v>206</v>
      </c>
      <c r="D87" s="444"/>
      <c r="E87" s="444"/>
      <c r="F87" s="444"/>
      <c r="G87" s="444"/>
      <c r="H87" s="444"/>
      <c r="I87" s="444"/>
      <c r="J87" s="444"/>
    </row>
    <row r="88" spans="3:10">
      <c r="C88" s="444"/>
      <c r="D88" s="444"/>
      <c r="E88" s="444"/>
      <c r="F88" s="444"/>
      <c r="G88" s="444"/>
      <c r="H88" s="444"/>
      <c r="I88" s="444"/>
      <c r="J88" s="444"/>
    </row>
    <row r="89" spans="3:10">
      <c r="C89" s="445" t="s">
        <v>508</v>
      </c>
      <c r="D89" s="445"/>
      <c r="E89" s="445"/>
      <c r="F89" s="445"/>
      <c r="G89" s="445"/>
      <c r="H89" s="445"/>
      <c r="I89" s="445"/>
      <c r="J89" s="445"/>
    </row>
    <row r="90" spans="3:10">
      <c r="C90" s="445"/>
      <c r="D90" s="445"/>
      <c r="E90" s="445"/>
      <c r="F90" s="445"/>
      <c r="G90" s="445"/>
      <c r="H90" s="445"/>
      <c r="I90" s="445"/>
      <c r="J90" s="445"/>
    </row>
    <row r="91" spans="3:10">
      <c r="C91" s="416" t="s">
        <v>161</v>
      </c>
      <c r="D91" s="416" t="s">
        <v>0</v>
      </c>
      <c r="E91" s="416" t="s">
        <v>160</v>
      </c>
      <c r="F91" s="415" t="s">
        <v>46</v>
      </c>
      <c r="G91" s="446" t="s">
        <v>517</v>
      </c>
      <c r="H91" s="446" t="s">
        <v>174</v>
      </c>
      <c r="I91" s="447" t="s">
        <v>518</v>
      </c>
      <c r="J91" s="447" t="s">
        <v>168</v>
      </c>
    </row>
    <row r="92" spans="3:10">
      <c r="C92" s="416"/>
      <c r="D92" s="416"/>
      <c r="E92" s="416"/>
      <c r="F92" s="415"/>
      <c r="G92" s="446"/>
      <c r="H92" s="446"/>
      <c r="I92" s="447"/>
      <c r="J92" s="447"/>
    </row>
    <row r="93" spans="3:10">
      <c r="C93" s="448">
        <v>1</v>
      </c>
      <c r="D93" s="413" t="s">
        <v>520</v>
      </c>
      <c r="E93" s="390" t="s">
        <v>521</v>
      </c>
      <c r="F93" s="390" t="s">
        <v>523</v>
      </c>
      <c r="G93" s="134">
        <v>33746807</v>
      </c>
      <c r="H93" s="134"/>
      <c r="I93" s="131" t="s">
        <v>519</v>
      </c>
      <c r="J93" s="386">
        <v>40000</v>
      </c>
    </row>
    <row r="94" spans="3:10">
      <c r="C94" s="450"/>
      <c r="D94" s="413"/>
      <c r="E94" s="390" t="s">
        <v>522</v>
      </c>
      <c r="F94" s="390" t="s">
        <v>524</v>
      </c>
      <c r="G94" s="134">
        <v>33746808</v>
      </c>
      <c r="H94" s="395"/>
      <c r="I94" s="131" t="s">
        <v>519</v>
      </c>
      <c r="J94" s="386">
        <v>40000</v>
      </c>
    </row>
    <row r="95" spans="3:10">
      <c r="C95" s="390">
        <v>3</v>
      </c>
      <c r="D95" s="390" t="s">
        <v>513</v>
      </c>
      <c r="E95" s="390" t="s">
        <v>529</v>
      </c>
      <c r="F95" s="390" t="s">
        <v>530</v>
      </c>
      <c r="G95" s="134">
        <v>33746809</v>
      </c>
      <c r="H95" s="134"/>
      <c r="I95" s="131" t="s">
        <v>519</v>
      </c>
      <c r="J95" s="386">
        <v>15600</v>
      </c>
    </row>
    <row r="96" spans="3:10">
      <c r="C96" s="448">
        <v>5</v>
      </c>
      <c r="D96" s="413" t="s">
        <v>4</v>
      </c>
      <c r="E96" s="390" t="s">
        <v>146</v>
      </c>
      <c r="F96" s="390" t="s">
        <v>17</v>
      </c>
      <c r="G96" s="134">
        <v>33746810</v>
      </c>
      <c r="H96" s="134"/>
      <c r="I96" s="131" t="s">
        <v>519</v>
      </c>
      <c r="J96" s="386">
        <v>9600</v>
      </c>
    </row>
    <row r="97" spans="3:10">
      <c r="C97" s="449"/>
      <c r="D97" s="413"/>
      <c r="E97" s="390" t="s">
        <v>147</v>
      </c>
      <c r="F97" s="390" t="s">
        <v>18</v>
      </c>
      <c r="G97" s="134">
        <v>33746812</v>
      </c>
      <c r="H97" s="134"/>
      <c r="I97" s="131" t="s">
        <v>519</v>
      </c>
      <c r="J97" s="386">
        <v>9600</v>
      </c>
    </row>
    <row r="98" spans="3:10">
      <c r="C98" s="449"/>
      <c r="D98" s="413"/>
      <c r="E98" s="390" t="s">
        <v>148</v>
      </c>
      <c r="F98" s="390" t="s">
        <v>19</v>
      </c>
      <c r="G98" s="134">
        <v>33746834</v>
      </c>
      <c r="H98" s="134"/>
      <c r="I98" s="131" t="s">
        <v>519</v>
      </c>
      <c r="J98" s="386">
        <v>9600</v>
      </c>
    </row>
    <row r="99" spans="3:10">
      <c r="C99" s="449"/>
      <c r="D99" s="413"/>
      <c r="E99" s="390" t="s">
        <v>149</v>
      </c>
      <c r="F99" s="390" t="s">
        <v>20</v>
      </c>
      <c r="G99" s="134">
        <v>33746813</v>
      </c>
      <c r="H99" s="134"/>
      <c r="I99" s="131" t="s">
        <v>519</v>
      </c>
      <c r="J99" s="386">
        <v>11800</v>
      </c>
    </row>
    <row r="100" spans="3:10">
      <c r="C100" s="449"/>
      <c r="D100" s="413"/>
      <c r="E100" s="390" t="s">
        <v>150</v>
      </c>
      <c r="F100" s="390" t="s">
        <v>20</v>
      </c>
      <c r="G100" s="134">
        <v>33746814</v>
      </c>
      <c r="H100" s="134"/>
      <c r="I100" s="131" t="s">
        <v>519</v>
      </c>
      <c r="J100" s="386">
        <v>11800</v>
      </c>
    </row>
    <row r="101" spans="3:10">
      <c r="C101" s="449"/>
      <c r="D101" s="413"/>
      <c r="E101" s="390" t="s">
        <v>151</v>
      </c>
      <c r="F101" s="390" t="s">
        <v>21</v>
      </c>
      <c r="G101" s="134">
        <v>33746815</v>
      </c>
      <c r="H101" s="134"/>
      <c r="I101" s="131" t="s">
        <v>519</v>
      </c>
      <c r="J101" s="386">
        <v>9600</v>
      </c>
    </row>
    <row r="102" spans="3:10">
      <c r="C102" s="450"/>
      <c r="D102" s="413"/>
      <c r="E102" s="390" t="s">
        <v>153</v>
      </c>
      <c r="F102" s="390" t="s">
        <v>22</v>
      </c>
      <c r="G102" s="134">
        <v>33746816</v>
      </c>
      <c r="H102" s="134"/>
      <c r="I102" s="131" t="s">
        <v>519</v>
      </c>
      <c r="J102" s="386">
        <v>9600</v>
      </c>
    </row>
    <row r="103" spans="3:10">
      <c r="C103" s="390">
        <v>6</v>
      </c>
      <c r="D103" s="390" t="s">
        <v>55</v>
      </c>
      <c r="E103" s="390" t="s">
        <v>144</v>
      </c>
      <c r="F103" s="390" t="s">
        <v>33</v>
      </c>
      <c r="G103" s="134">
        <v>33746836</v>
      </c>
      <c r="H103" s="134"/>
      <c r="I103" s="131" t="s">
        <v>519</v>
      </c>
      <c r="J103" s="386">
        <v>28800</v>
      </c>
    </row>
    <row r="104" spans="3:10" ht="15.75">
      <c r="C104" s="441" t="s">
        <v>467</v>
      </c>
      <c r="D104" s="442"/>
      <c r="E104" s="442"/>
      <c r="F104" s="442"/>
      <c r="G104" s="442"/>
      <c r="H104" s="442"/>
      <c r="I104" s="443"/>
      <c r="J104" s="387">
        <f>SUM(J93:J103)</f>
        <v>196000</v>
      </c>
    </row>
    <row r="105" spans="3:10">
      <c r="C105" s="392"/>
      <c r="D105" s="392"/>
      <c r="E105" s="392"/>
      <c r="F105" s="392"/>
      <c r="G105" s="392"/>
      <c r="H105" s="392"/>
    </row>
    <row r="106" spans="3:10">
      <c r="C106" s="392"/>
      <c r="D106" s="392"/>
      <c r="E106" s="392"/>
      <c r="F106" s="392"/>
      <c r="G106" s="392"/>
      <c r="H106" s="392"/>
    </row>
    <row r="107" spans="3:10">
      <c r="C107" s="392"/>
      <c r="D107" s="392"/>
      <c r="E107" s="392"/>
      <c r="F107" s="392"/>
      <c r="G107" s="392"/>
      <c r="H107" s="392"/>
    </row>
    <row r="108" spans="3:10">
      <c r="C108" s="392"/>
      <c r="D108" s="392"/>
      <c r="E108" s="392"/>
      <c r="F108" s="392"/>
      <c r="G108" s="392"/>
      <c r="H108" s="392"/>
    </row>
    <row r="109" spans="3:10" s="392" customFormat="1" ht="15.75">
      <c r="D109" s="298"/>
      <c r="E109" s="285"/>
      <c r="H109" s="433"/>
      <c r="I109" s="433"/>
      <c r="J109" s="385"/>
    </row>
    <row r="110" spans="3:10" s="392" customFormat="1" ht="15.75">
      <c r="D110" s="299" t="s">
        <v>209</v>
      </c>
      <c r="E110" s="300"/>
      <c r="H110" s="435" t="s">
        <v>207</v>
      </c>
      <c r="I110" s="435"/>
      <c r="J110" s="385"/>
    </row>
    <row r="111" spans="3:10" s="392" customFormat="1" ht="15.75">
      <c r="D111" s="285"/>
      <c r="E111" s="285"/>
      <c r="H111" s="285"/>
      <c r="I111" s="285"/>
      <c r="J111" s="385"/>
    </row>
    <row r="112" spans="3:10" s="392" customFormat="1" ht="15.75">
      <c r="D112" s="285"/>
      <c r="E112" s="285"/>
      <c r="H112" s="285"/>
      <c r="I112" s="285"/>
      <c r="J112" s="385"/>
    </row>
    <row r="113" spans="3:10" s="392" customFormat="1" ht="15.75">
      <c r="D113" s="285"/>
      <c r="E113" s="285"/>
      <c r="H113" s="285"/>
      <c r="I113" s="285"/>
      <c r="J113" s="385"/>
    </row>
    <row r="114" spans="3:10" s="392" customFormat="1" ht="15.75">
      <c r="D114" s="285"/>
      <c r="E114" s="285"/>
      <c r="H114" s="285"/>
      <c r="I114" s="285"/>
      <c r="J114" s="385"/>
    </row>
    <row r="115" spans="3:10" s="392" customFormat="1" ht="15.75">
      <c r="D115" s="285"/>
      <c r="E115" s="285"/>
      <c r="H115" s="285"/>
      <c r="I115" s="285"/>
      <c r="J115" s="385"/>
    </row>
    <row r="116" spans="3:10" s="392" customFormat="1" ht="15.75">
      <c r="D116" s="285"/>
      <c r="E116" s="285"/>
      <c r="H116" s="285"/>
      <c r="I116" s="285"/>
      <c r="J116" s="385"/>
    </row>
    <row r="117" spans="3:10" s="392" customFormat="1" ht="15.75">
      <c r="D117" s="301"/>
      <c r="E117" s="302"/>
      <c r="H117" s="433"/>
      <c r="I117" s="433"/>
      <c r="J117" s="385"/>
    </row>
    <row r="118" spans="3:10" s="392" customFormat="1" ht="15.75">
      <c r="D118" s="299" t="s">
        <v>208</v>
      </c>
      <c r="E118" s="391"/>
      <c r="H118" s="436" t="s">
        <v>175</v>
      </c>
      <c r="I118" s="436"/>
      <c r="J118" s="385"/>
    </row>
    <row r="119" spans="3:10" s="392" customFormat="1">
      <c r="I119" s="353"/>
      <c r="J119" s="385"/>
    </row>
    <row r="120" spans="3:10" s="392" customFormat="1">
      <c r="I120" s="353"/>
      <c r="J120" s="385"/>
    </row>
    <row r="121" spans="3:10" s="392" customFormat="1">
      <c r="I121" s="353"/>
      <c r="J121" s="385"/>
    </row>
    <row r="122" spans="3:10" s="392" customFormat="1">
      <c r="I122" s="353"/>
      <c r="J122" s="385"/>
    </row>
    <row r="123" spans="3:10" s="392" customFormat="1">
      <c r="I123" s="353"/>
      <c r="J123" s="385"/>
    </row>
    <row r="124" spans="3:10" s="392" customFormat="1">
      <c r="I124" s="353"/>
      <c r="J124" s="385"/>
    </row>
    <row r="125" spans="3:10">
      <c r="C125" s="392"/>
      <c r="D125" s="392"/>
      <c r="E125" s="392"/>
      <c r="F125" s="392"/>
      <c r="G125" s="392"/>
      <c r="H125" s="392"/>
    </row>
    <row r="126" spans="3:10">
      <c r="C126" s="392"/>
      <c r="D126" s="392"/>
      <c r="E126" s="392"/>
      <c r="F126" s="392"/>
      <c r="G126" s="392"/>
      <c r="H126" s="392"/>
    </row>
    <row r="127" spans="3:10">
      <c r="C127" s="392"/>
      <c r="D127" s="392"/>
      <c r="E127" s="392"/>
      <c r="F127" s="392"/>
      <c r="G127" s="392"/>
      <c r="H127" s="392"/>
    </row>
    <row r="128" spans="3:10">
      <c r="C128" s="444" t="s">
        <v>206</v>
      </c>
      <c r="D128" s="444"/>
      <c r="E128" s="444"/>
      <c r="F128" s="444"/>
      <c r="G128" s="444"/>
      <c r="H128" s="444"/>
      <c r="I128" s="444"/>
      <c r="J128" s="444"/>
    </row>
    <row r="129" spans="3:10">
      <c r="C129" s="444"/>
      <c r="D129" s="444"/>
      <c r="E129" s="444"/>
      <c r="F129" s="444"/>
      <c r="G129" s="444"/>
      <c r="H129" s="444"/>
      <c r="I129" s="444"/>
      <c r="J129" s="444"/>
    </row>
    <row r="130" spans="3:10">
      <c r="C130" s="445" t="s">
        <v>538</v>
      </c>
      <c r="D130" s="445"/>
      <c r="E130" s="445"/>
      <c r="F130" s="445"/>
      <c r="G130" s="445"/>
      <c r="H130" s="445"/>
      <c r="I130" s="445"/>
      <c r="J130" s="445"/>
    </row>
    <row r="131" spans="3:10">
      <c r="C131" s="445"/>
      <c r="D131" s="445"/>
      <c r="E131" s="445"/>
      <c r="F131" s="445"/>
      <c r="G131" s="445"/>
      <c r="H131" s="445"/>
      <c r="I131" s="445"/>
      <c r="J131" s="445"/>
    </row>
    <row r="132" spans="3:10">
      <c r="C132" s="416" t="s">
        <v>161</v>
      </c>
      <c r="D132" s="416" t="s">
        <v>0</v>
      </c>
      <c r="E132" s="416" t="s">
        <v>160</v>
      </c>
      <c r="F132" s="415" t="s">
        <v>46</v>
      </c>
      <c r="G132" s="446" t="s">
        <v>517</v>
      </c>
      <c r="H132" s="446" t="s">
        <v>174</v>
      </c>
      <c r="I132" s="447" t="s">
        <v>518</v>
      </c>
      <c r="J132" s="447" t="s">
        <v>168</v>
      </c>
    </row>
    <row r="133" spans="3:10">
      <c r="C133" s="416"/>
      <c r="D133" s="416"/>
      <c r="E133" s="416"/>
      <c r="F133" s="415"/>
      <c r="G133" s="446"/>
      <c r="H133" s="446"/>
      <c r="I133" s="447"/>
      <c r="J133" s="447"/>
    </row>
    <row r="134" spans="3:10">
      <c r="C134" s="413">
        <v>5</v>
      </c>
      <c r="D134" s="413" t="s">
        <v>4</v>
      </c>
      <c r="E134" s="390" t="s">
        <v>146</v>
      </c>
      <c r="F134" s="390" t="s">
        <v>17</v>
      </c>
      <c r="G134" s="134">
        <v>33746817</v>
      </c>
      <c r="H134" s="134"/>
      <c r="I134" s="270" t="s">
        <v>519</v>
      </c>
      <c r="J134" s="386">
        <v>14400</v>
      </c>
    </row>
    <row r="135" spans="3:10">
      <c r="C135" s="413"/>
      <c r="D135" s="413"/>
      <c r="E135" s="390" t="s">
        <v>147</v>
      </c>
      <c r="F135" s="390" t="s">
        <v>18</v>
      </c>
      <c r="G135" s="134">
        <v>33746818</v>
      </c>
      <c r="H135" s="396"/>
      <c r="I135" s="270" t="s">
        <v>519</v>
      </c>
      <c r="J135" s="386">
        <v>14400</v>
      </c>
    </row>
    <row r="136" spans="3:10">
      <c r="C136" s="413"/>
      <c r="D136" s="413"/>
      <c r="E136" s="390" t="s">
        <v>148</v>
      </c>
      <c r="F136" s="390" t="s">
        <v>19</v>
      </c>
      <c r="G136" s="134">
        <v>33746835</v>
      </c>
      <c r="H136" s="396"/>
      <c r="I136" s="270" t="s">
        <v>519</v>
      </c>
      <c r="J136" s="386">
        <v>14400</v>
      </c>
    </row>
    <row r="137" spans="3:10">
      <c r="C137" s="413"/>
      <c r="D137" s="413"/>
      <c r="E137" s="390" t="s">
        <v>149</v>
      </c>
      <c r="F137" s="390" t="s">
        <v>20</v>
      </c>
      <c r="G137" s="134">
        <v>33746820</v>
      </c>
      <c r="H137" s="396"/>
      <c r="I137" s="270" t="s">
        <v>519</v>
      </c>
      <c r="J137" s="386">
        <v>17700</v>
      </c>
    </row>
    <row r="138" spans="3:10">
      <c r="C138" s="413"/>
      <c r="D138" s="413"/>
      <c r="E138" s="390" t="s">
        <v>150</v>
      </c>
      <c r="F138" s="390" t="s">
        <v>20</v>
      </c>
      <c r="G138" s="134">
        <v>33746821</v>
      </c>
      <c r="H138" s="396"/>
      <c r="I138" s="270" t="s">
        <v>519</v>
      </c>
      <c r="J138" s="386">
        <v>17700</v>
      </c>
    </row>
    <row r="139" spans="3:10">
      <c r="C139" s="413"/>
      <c r="D139" s="413"/>
      <c r="E139" s="390" t="s">
        <v>151</v>
      </c>
      <c r="F139" s="390" t="s">
        <v>21</v>
      </c>
      <c r="G139" s="134">
        <v>33746822</v>
      </c>
      <c r="H139" s="396"/>
      <c r="I139" s="270" t="s">
        <v>519</v>
      </c>
      <c r="J139" s="386">
        <v>14400</v>
      </c>
    </row>
    <row r="140" spans="3:10">
      <c r="C140" s="413"/>
      <c r="D140" s="413"/>
      <c r="E140" s="390" t="s">
        <v>153</v>
      </c>
      <c r="F140" s="390" t="s">
        <v>22</v>
      </c>
      <c r="G140" s="134">
        <v>33746824</v>
      </c>
      <c r="H140" s="396"/>
      <c r="I140" s="270" t="s">
        <v>519</v>
      </c>
      <c r="J140" s="386">
        <v>14400</v>
      </c>
    </row>
    <row r="141" spans="3:10">
      <c r="C141" s="413">
        <v>6</v>
      </c>
      <c r="D141" s="413" t="s">
        <v>540</v>
      </c>
      <c r="E141" s="390" t="s">
        <v>126</v>
      </c>
      <c r="F141" s="390" t="s">
        <v>35</v>
      </c>
      <c r="G141" s="134">
        <v>33746825</v>
      </c>
      <c r="H141" s="396"/>
      <c r="I141" s="270" t="s">
        <v>519</v>
      </c>
      <c r="J141" s="386">
        <v>31200</v>
      </c>
    </row>
    <row r="142" spans="3:10">
      <c r="C142" s="413"/>
      <c r="D142" s="413"/>
      <c r="E142" s="390" t="s">
        <v>127</v>
      </c>
      <c r="F142" s="390" t="s">
        <v>36</v>
      </c>
      <c r="G142" s="134">
        <v>33746826</v>
      </c>
      <c r="H142" s="396"/>
      <c r="I142" s="270" t="s">
        <v>519</v>
      </c>
      <c r="J142" s="386">
        <v>31200</v>
      </c>
    </row>
    <row r="143" spans="3:10">
      <c r="C143" s="413">
        <v>7</v>
      </c>
      <c r="D143" s="413" t="s">
        <v>53</v>
      </c>
      <c r="E143" s="390" t="s">
        <v>133</v>
      </c>
      <c r="F143" s="390" t="s">
        <v>26</v>
      </c>
      <c r="G143" s="134">
        <v>33746827</v>
      </c>
      <c r="H143" s="396"/>
      <c r="I143" s="270" t="s">
        <v>519</v>
      </c>
      <c r="J143" s="386">
        <v>19600</v>
      </c>
    </row>
    <row r="144" spans="3:10">
      <c r="C144" s="413"/>
      <c r="D144" s="413"/>
      <c r="E144" s="390" t="s">
        <v>134</v>
      </c>
      <c r="F144" s="390" t="s">
        <v>27</v>
      </c>
      <c r="G144" s="134">
        <v>33746828</v>
      </c>
      <c r="H144" s="396"/>
      <c r="I144" s="270" t="s">
        <v>519</v>
      </c>
      <c r="J144" s="386">
        <v>19600</v>
      </c>
    </row>
    <row r="145" spans="3:10">
      <c r="C145" s="413"/>
      <c r="D145" s="413"/>
      <c r="E145" s="390" t="s">
        <v>135</v>
      </c>
      <c r="F145" s="390" t="s">
        <v>28</v>
      </c>
      <c r="G145" s="134">
        <v>33746829</v>
      </c>
      <c r="H145" s="396"/>
      <c r="I145" s="270" t="s">
        <v>519</v>
      </c>
      <c r="J145" s="386">
        <v>19200</v>
      </c>
    </row>
    <row r="146" spans="3:10">
      <c r="C146" s="413"/>
      <c r="D146" s="413"/>
      <c r="E146" s="390" t="s">
        <v>136</v>
      </c>
      <c r="F146" s="390" t="s">
        <v>475</v>
      </c>
      <c r="G146" s="134">
        <v>33746830</v>
      </c>
      <c r="H146" s="396"/>
      <c r="I146" s="270" t="s">
        <v>519</v>
      </c>
      <c r="J146" s="386">
        <v>19200</v>
      </c>
    </row>
    <row r="147" spans="3:10">
      <c r="C147" s="413"/>
      <c r="D147" s="413"/>
      <c r="E147" s="390" t="s">
        <v>137</v>
      </c>
      <c r="F147" s="390" t="s">
        <v>30</v>
      </c>
      <c r="G147" s="134">
        <v>33746831</v>
      </c>
      <c r="H147" s="396"/>
      <c r="I147" s="270" t="s">
        <v>519</v>
      </c>
      <c r="J147" s="386">
        <v>19200</v>
      </c>
    </row>
    <row r="148" spans="3:10">
      <c r="C148" s="413"/>
      <c r="D148" s="413"/>
      <c r="E148" s="390" t="s">
        <v>138</v>
      </c>
      <c r="F148" s="390" t="s">
        <v>31</v>
      </c>
      <c r="G148" s="134">
        <v>33746832</v>
      </c>
      <c r="H148" s="396"/>
      <c r="I148" s="270" t="s">
        <v>519</v>
      </c>
      <c r="J148" s="386">
        <v>29400</v>
      </c>
    </row>
    <row r="149" spans="3:10">
      <c r="C149" s="413"/>
      <c r="D149" s="413"/>
      <c r="E149" s="390" t="s">
        <v>140</v>
      </c>
      <c r="F149" s="390" t="s">
        <v>32</v>
      </c>
      <c r="G149" s="134">
        <v>33746833</v>
      </c>
      <c r="H149" s="396"/>
      <c r="I149" s="270" t="s">
        <v>519</v>
      </c>
      <c r="J149" s="386">
        <v>19800</v>
      </c>
    </row>
    <row r="150" spans="3:10" ht="15.75">
      <c r="C150" s="441" t="s">
        <v>467</v>
      </c>
      <c r="D150" s="442"/>
      <c r="E150" s="442"/>
      <c r="F150" s="442"/>
      <c r="G150" s="442"/>
      <c r="H150" s="442"/>
      <c r="I150" s="443"/>
      <c r="J150" s="387">
        <f>SUM(J134:J149)</f>
        <v>315800</v>
      </c>
    </row>
    <row r="153" spans="3:10" s="392" customFormat="1">
      <c r="I153" s="353"/>
      <c r="J153" s="385"/>
    </row>
    <row r="154" spans="3:10" s="392" customFormat="1">
      <c r="I154" s="353"/>
      <c r="J154" s="385"/>
    </row>
    <row r="155" spans="3:10" s="392" customFormat="1" ht="15.75">
      <c r="D155" s="298"/>
      <c r="E155" s="285"/>
      <c r="H155" s="433"/>
      <c r="I155" s="433"/>
      <c r="J155" s="385"/>
    </row>
    <row r="156" spans="3:10" s="392" customFormat="1" ht="15.75">
      <c r="D156" s="299" t="s">
        <v>209</v>
      </c>
      <c r="E156" s="300"/>
      <c r="H156" s="435" t="s">
        <v>207</v>
      </c>
      <c r="I156" s="435"/>
      <c r="J156" s="385"/>
    </row>
    <row r="157" spans="3:10" s="392" customFormat="1" ht="15.75">
      <c r="D157" s="285"/>
      <c r="E157" s="285"/>
      <c r="H157" s="285"/>
      <c r="I157" s="285"/>
      <c r="J157" s="385"/>
    </row>
    <row r="158" spans="3:10" s="392" customFormat="1" ht="15.75">
      <c r="D158" s="285"/>
      <c r="E158" s="285"/>
      <c r="H158" s="285"/>
      <c r="I158" s="285"/>
      <c r="J158" s="385"/>
    </row>
    <row r="159" spans="3:10" s="392" customFormat="1" ht="15.75">
      <c r="D159" s="285"/>
      <c r="E159" s="285"/>
      <c r="H159" s="285"/>
      <c r="I159" s="285"/>
      <c r="J159" s="385"/>
    </row>
    <row r="160" spans="3:10" s="392" customFormat="1" ht="15.75">
      <c r="D160" s="285"/>
      <c r="E160" s="285"/>
      <c r="H160" s="285"/>
      <c r="I160" s="285"/>
      <c r="J160" s="385"/>
    </row>
    <row r="161" spans="3:10" s="392" customFormat="1" ht="15.75">
      <c r="D161" s="285"/>
      <c r="E161" s="285"/>
      <c r="H161" s="285"/>
      <c r="I161" s="285"/>
      <c r="J161" s="385"/>
    </row>
    <row r="162" spans="3:10" s="392" customFormat="1" ht="15.75">
      <c r="D162" s="285"/>
      <c r="E162" s="285"/>
      <c r="H162" s="285"/>
      <c r="I162" s="285"/>
      <c r="J162" s="385"/>
    </row>
    <row r="163" spans="3:10" s="392" customFormat="1" ht="15.75">
      <c r="D163" s="301"/>
      <c r="E163" s="302"/>
      <c r="H163" s="433"/>
      <c r="I163" s="433"/>
      <c r="J163" s="385"/>
    </row>
    <row r="164" spans="3:10" s="392" customFormat="1" ht="15.75">
      <c r="D164" s="299" t="s">
        <v>208</v>
      </c>
      <c r="E164" s="391"/>
      <c r="H164" s="436" t="s">
        <v>175</v>
      </c>
      <c r="I164" s="436"/>
      <c r="J164" s="385"/>
    </row>
    <row r="165" spans="3:10" s="392" customFormat="1">
      <c r="I165" s="353"/>
      <c r="J165" s="385"/>
    </row>
    <row r="166" spans="3:10" s="392" customFormat="1">
      <c r="I166" s="353"/>
      <c r="J166" s="385"/>
    </row>
    <row r="167" spans="3:10" s="392" customFormat="1">
      <c r="I167" s="353"/>
      <c r="J167" s="385"/>
    </row>
    <row r="168" spans="3:10" s="392" customFormat="1">
      <c r="I168" s="353"/>
      <c r="J168" s="385"/>
    </row>
    <row r="169" spans="3:10" s="392" customFormat="1">
      <c r="I169" s="353"/>
      <c r="J169" s="385"/>
    </row>
    <row r="170" spans="3:10" s="392" customFormat="1">
      <c r="I170" s="353"/>
      <c r="J170" s="385"/>
    </row>
    <row r="171" spans="3:10" s="392" customFormat="1">
      <c r="I171" s="353"/>
      <c r="J171" s="385"/>
    </row>
    <row r="176" spans="3:10">
      <c r="C176" s="444" t="s">
        <v>206</v>
      </c>
      <c r="D176" s="444"/>
      <c r="E176" s="444"/>
      <c r="F176" s="444"/>
      <c r="G176" s="444"/>
      <c r="H176" s="444"/>
      <c r="I176" s="444"/>
      <c r="J176" s="444"/>
    </row>
    <row r="177" spans="3:10">
      <c r="C177" s="444"/>
      <c r="D177" s="444"/>
      <c r="E177" s="444"/>
      <c r="F177" s="444"/>
      <c r="G177" s="444"/>
      <c r="H177" s="444"/>
      <c r="I177" s="444"/>
      <c r="J177" s="444"/>
    </row>
    <row r="178" spans="3:10">
      <c r="C178" s="445" t="s">
        <v>507</v>
      </c>
      <c r="D178" s="445"/>
      <c r="E178" s="445"/>
      <c r="F178" s="445"/>
      <c r="G178" s="445"/>
      <c r="H178" s="445"/>
      <c r="I178" s="445"/>
      <c r="J178" s="445"/>
    </row>
    <row r="179" spans="3:10">
      <c r="C179" s="445"/>
      <c r="D179" s="445"/>
      <c r="E179" s="445"/>
      <c r="F179" s="445"/>
      <c r="G179" s="445"/>
      <c r="H179" s="445"/>
      <c r="I179" s="445"/>
      <c r="J179" s="445"/>
    </row>
    <row r="180" spans="3:10">
      <c r="C180" s="416" t="s">
        <v>161</v>
      </c>
      <c r="D180" s="416" t="s">
        <v>0</v>
      </c>
      <c r="E180" s="416" t="s">
        <v>160</v>
      </c>
      <c r="F180" s="415" t="s">
        <v>46</v>
      </c>
      <c r="G180" s="446" t="s">
        <v>517</v>
      </c>
      <c r="H180" s="446" t="s">
        <v>174</v>
      </c>
      <c r="I180" s="447" t="s">
        <v>518</v>
      </c>
      <c r="J180" s="447" t="s">
        <v>168</v>
      </c>
    </row>
    <row r="181" spans="3:10">
      <c r="C181" s="416"/>
      <c r="D181" s="416"/>
      <c r="E181" s="416"/>
      <c r="F181" s="415"/>
      <c r="G181" s="446"/>
      <c r="H181" s="446"/>
      <c r="I181" s="447"/>
      <c r="J181" s="447"/>
    </row>
    <row r="182" spans="3:10">
      <c r="C182" s="390">
        <v>3</v>
      </c>
      <c r="D182" s="390" t="s">
        <v>513</v>
      </c>
      <c r="E182" s="390" t="s">
        <v>529</v>
      </c>
      <c r="F182" s="390" t="s">
        <v>530</v>
      </c>
      <c r="G182" s="134">
        <v>33746806</v>
      </c>
      <c r="H182" s="397"/>
      <c r="I182" s="131" t="s">
        <v>519</v>
      </c>
      <c r="J182" s="386">
        <v>15600</v>
      </c>
    </row>
    <row r="183" spans="3:10" ht="15.75">
      <c r="C183" s="441" t="s">
        <v>467</v>
      </c>
      <c r="D183" s="442"/>
      <c r="E183" s="442"/>
      <c r="F183" s="442"/>
      <c r="G183" s="442"/>
      <c r="H183" s="442"/>
      <c r="I183" s="443"/>
      <c r="J183" s="387">
        <f>SUM(J182:J182)</f>
        <v>15600</v>
      </c>
    </row>
    <row r="190" spans="3:10" ht="15.75">
      <c r="D190" s="298"/>
      <c r="E190" s="285"/>
      <c r="H190" s="433"/>
      <c r="I190" s="433"/>
    </row>
    <row r="191" spans="3:10" ht="15.75">
      <c r="D191" s="299" t="s">
        <v>209</v>
      </c>
      <c r="E191" s="300"/>
      <c r="H191" s="435" t="s">
        <v>207</v>
      </c>
      <c r="I191" s="435"/>
    </row>
    <row r="192" spans="3:10" ht="15.75">
      <c r="D192" s="285"/>
      <c r="E192" s="285"/>
      <c r="H192" s="285"/>
      <c r="I192" s="285"/>
    </row>
    <row r="193" spans="4:9" ht="15.75">
      <c r="D193" s="285"/>
      <c r="E193" s="285"/>
      <c r="H193" s="285"/>
      <c r="I193" s="285"/>
    </row>
    <row r="194" spans="4:9" ht="15.75">
      <c r="D194" s="285"/>
      <c r="E194" s="285"/>
      <c r="H194" s="285"/>
      <c r="I194" s="285"/>
    </row>
    <row r="195" spans="4:9" ht="15.75">
      <c r="D195" s="285"/>
      <c r="E195" s="285"/>
      <c r="H195" s="285"/>
      <c r="I195" s="285"/>
    </row>
    <row r="196" spans="4:9" ht="15.75">
      <c r="D196" s="285"/>
      <c r="E196" s="285"/>
      <c r="H196" s="285"/>
      <c r="I196" s="285"/>
    </row>
    <row r="197" spans="4:9" ht="15.75">
      <c r="D197" s="285"/>
      <c r="E197" s="285"/>
      <c r="H197" s="285"/>
      <c r="I197" s="285"/>
    </row>
    <row r="198" spans="4:9" ht="15.75">
      <c r="D198" s="301"/>
      <c r="E198" s="302"/>
      <c r="H198" s="433"/>
      <c r="I198" s="433"/>
    </row>
    <row r="199" spans="4:9" ht="15.75">
      <c r="D199" s="299" t="s">
        <v>208</v>
      </c>
      <c r="E199" s="391"/>
      <c r="H199" s="436" t="s">
        <v>175</v>
      </c>
      <c r="I199" s="436"/>
    </row>
  </sheetData>
  <mergeCells count="109">
    <mergeCell ref="C77:I77"/>
    <mergeCell ref="D65:D76"/>
    <mergeCell ref="H57:I57"/>
    <mergeCell ref="H61:I61"/>
    <mergeCell ref="H62:I62"/>
    <mergeCell ref="C65:C76"/>
    <mergeCell ref="C47:C53"/>
    <mergeCell ref="D47:D53"/>
    <mergeCell ref="C54:C55"/>
    <mergeCell ref="D54:D55"/>
    <mergeCell ref="C56:C62"/>
    <mergeCell ref="D56:D62"/>
    <mergeCell ref="H55:I55"/>
    <mergeCell ref="H47:I47"/>
    <mergeCell ref="H50:I50"/>
    <mergeCell ref="H51:I51"/>
    <mergeCell ref="H53:I53"/>
    <mergeCell ref="C33:J34"/>
    <mergeCell ref="C35:J36"/>
    <mergeCell ref="C25:I25"/>
    <mergeCell ref="I37:I38"/>
    <mergeCell ref="J37:J38"/>
    <mergeCell ref="C39:C40"/>
    <mergeCell ref="D39:D40"/>
    <mergeCell ref="C43:C46"/>
    <mergeCell ref="D43:D46"/>
    <mergeCell ref="C37:C38"/>
    <mergeCell ref="D37:D38"/>
    <mergeCell ref="E37:E38"/>
    <mergeCell ref="F37:F38"/>
    <mergeCell ref="G37:G38"/>
    <mergeCell ref="H37:H38"/>
    <mergeCell ref="H40:I40"/>
    <mergeCell ref="H43:I43"/>
    <mergeCell ref="H45:I45"/>
    <mergeCell ref="C9:C10"/>
    <mergeCell ref="C3:J4"/>
    <mergeCell ref="D17:D23"/>
    <mergeCell ref="C5:J6"/>
    <mergeCell ref="C7:C8"/>
    <mergeCell ref="D7:D8"/>
    <mergeCell ref="E7:E8"/>
    <mergeCell ref="F7:F8"/>
    <mergeCell ref="C13:C16"/>
    <mergeCell ref="C17:C23"/>
    <mergeCell ref="D9:D10"/>
    <mergeCell ref="G7:G8"/>
    <mergeCell ref="H7:H8"/>
    <mergeCell ref="I7:I8"/>
    <mergeCell ref="J7:J8"/>
    <mergeCell ref="G10:I10"/>
    <mergeCell ref="D13:D16"/>
    <mergeCell ref="G13:I13"/>
    <mergeCell ref="G15:I15"/>
    <mergeCell ref="C93:C94"/>
    <mergeCell ref="D93:D94"/>
    <mergeCell ref="C87:J88"/>
    <mergeCell ref="C89:J90"/>
    <mergeCell ref="C91:C92"/>
    <mergeCell ref="D91:D92"/>
    <mergeCell ref="E91:E92"/>
    <mergeCell ref="F91:F92"/>
    <mergeCell ref="G91:G92"/>
    <mergeCell ref="H91:H92"/>
    <mergeCell ref="I91:I92"/>
    <mergeCell ref="J91:J92"/>
    <mergeCell ref="J132:J133"/>
    <mergeCell ref="C132:C133"/>
    <mergeCell ref="D132:D133"/>
    <mergeCell ref="E132:E133"/>
    <mergeCell ref="F132:F133"/>
    <mergeCell ref="G132:G133"/>
    <mergeCell ref="C96:C102"/>
    <mergeCell ref="D96:D102"/>
    <mergeCell ref="C104:I104"/>
    <mergeCell ref="C128:J129"/>
    <mergeCell ref="C130:J131"/>
    <mergeCell ref="H109:I109"/>
    <mergeCell ref="H110:I110"/>
    <mergeCell ref="H117:I117"/>
    <mergeCell ref="C141:C142"/>
    <mergeCell ref="D141:D142"/>
    <mergeCell ref="C143:C149"/>
    <mergeCell ref="D143:D149"/>
    <mergeCell ref="C134:C140"/>
    <mergeCell ref="D134:D140"/>
    <mergeCell ref="H118:I118"/>
    <mergeCell ref="H132:H133"/>
    <mergeCell ref="I132:I133"/>
    <mergeCell ref="C150:I150"/>
    <mergeCell ref="C176:J177"/>
    <mergeCell ref="C178:J179"/>
    <mergeCell ref="H198:I198"/>
    <mergeCell ref="H199:I199"/>
    <mergeCell ref="H155:I155"/>
    <mergeCell ref="H156:I156"/>
    <mergeCell ref="H163:I163"/>
    <mergeCell ref="H164:I164"/>
    <mergeCell ref="C183:I183"/>
    <mergeCell ref="H190:I190"/>
    <mergeCell ref="H191:I191"/>
    <mergeCell ref="H180:H181"/>
    <mergeCell ref="I180:I181"/>
    <mergeCell ref="J180:J181"/>
    <mergeCell ref="C180:C181"/>
    <mergeCell ref="D180:D181"/>
    <mergeCell ref="E180:E181"/>
    <mergeCell ref="F180:F181"/>
    <mergeCell ref="G180:G181"/>
  </mergeCells>
  <conditionalFormatting sqref="E11:E12">
    <cfRule type="duplicateValues" dxfId="211" priority="73"/>
    <cfRule type="duplicateValues" dxfId="210" priority="74"/>
  </conditionalFormatting>
  <conditionalFormatting sqref="E13:E16">
    <cfRule type="duplicateValues" dxfId="209" priority="69"/>
    <cfRule type="duplicateValues" dxfId="208" priority="70"/>
  </conditionalFormatting>
  <conditionalFormatting sqref="E24">
    <cfRule type="duplicateValues" dxfId="207" priority="63"/>
    <cfRule type="duplicateValues" dxfId="206" priority="64"/>
  </conditionalFormatting>
  <conditionalFormatting sqref="E9:E10">
    <cfRule type="duplicateValues" dxfId="205" priority="77"/>
    <cfRule type="duplicateValues" dxfId="204" priority="78"/>
  </conditionalFormatting>
  <conditionalFormatting sqref="E17:E23">
    <cfRule type="duplicateValues" dxfId="203" priority="347"/>
    <cfRule type="duplicateValues" dxfId="202" priority="348"/>
  </conditionalFormatting>
  <conditionalFormatting sqref="E41:E42">
    <cfRule type="duplicateValues" dxfId="201" priority="47"/>
    <cfRule type="duplicateValues" dxfId="200" priority="48"/>
  </conditionalFormatting>
  <conditionalFormatting sqref="E43:E46">
    <cfRule type="duplicateValues" dxfId="199" priority="45"/>
    <cfRule type="duplicateValues" dxfId="198" priority="46"/>
  </conditionalFormatting>
  <conditionalFormatting sqref="E63">
    <cfRule type="duplicateValues" dxfId="197" priority="43"/>
    <cfRule type="duplicateValues" dxfId="196" priority="44"/>
  </conditionalFormatting>
  <conditionalFormatting sqref="E39:E40">
    <cfRule type="duplicateValues" dxfId="195" priority="49"/>
    <cfRule type="duplicateValues" dxfId="194" priority="50"/>
  </conditionalFormatting>
  <conditionalFormatting sqref="E47:E53">
    <cfRule type="duplicateValues" dxfId="193" priority="51"/>
    <cfRule type="duplicateValues" dxfId="192" priority="52"/>
  </conditionalFormatting>
  <conditionalFormatting sqref="E54:E55">
    <cfRule type="duplicateValues" dxfId="191" priority="53"/>
    <cfRule type="duplicateValues" dxfId="190" priority="54"/>
  </conditionalFormatting>
  <conditionalFormatting sqref="E62">
    <cfRule type="duplicateValues" dxfId="189" priority="55"/>
    <cfRule type="duplicateValues" dxfId="188" priority="56"/>
  </conditionalFormatting>
  <conditionalFormatting sqref="E9:E24">
    <cfRule type="duplicateValues" dxfId="187" priority="369"/>
    <cfRule type="duplicateValues" dxfId="186" priority="370"/>
  </conditionalFormatting>
  <conditionalFormatting sqref="E56:E61 E64:E76 E78:E80">
    <cfRule type="duplicateValues" dxfId="185" priority="381"/>
    <cfRule type="duplicateValues" dxfId="184" priority="382"/>
  </conditionalFormatting>
  <conditionalFormatting sqref="E39:E76 E78:E80">
    <cfRule type="duplicateValues" dxfId="183" priority="389"/>
    <cfRule type="duplicateValues" dxfId="182" priority="390"/>
  </conditionalFormatting>
  <conditionalFormatting sqref="E103">
    <cfRule type="duplicateValues" dxfId="181" priority="27"/>
    <cfRule type="duplicateValues" dxfId="180" priority="28"/>
  </conditionalFormatting>
  <conditionalFormatting sqref="E93:E94">
    <cfRule type="duplicateValues" dxfId="179" priority="33"/>
    <cfRule type="duplicateValues" dxfId="178" priority="34"/>
  </conditionalFormatting>
  <conditionalFormatting sqref="E96:E102">
    <cfRule type="duplicateValues" dxfId="177" priority="35"/>
    <cfRule type="duplicateValues" dxfId="176" priority="36"/>
  </conditionalFormatting>
  <conditionalFormatting sqref="E134:E140">
    <cfRule type="duplicateValues" dxfId="175" priority="21"/>
    <cfRule type="duplicateValues" dxfId="174" priority="22"/>
  </conditionalFormatting>
  <conditionalFormatting sqref="E141:E142">
    <cfRule type="duplicateValues" dxfId="173" priority="23"/>
    <cfRule type="duplicateValues" dxfId="172" priority="24"/>
  </conditionalFormatting>
  <conditionalFormatting sqref="E149">
    <cfRule type="duplicateValues" dxfId="171" priority="25"/>
    <cfRule type="duplicateValues" dxfId="170" priority="26"/>
  </conditionalFormatting>
  <conditionalFormatting sqref="E95">
    <cfRule type="duplicateValues" dxfId="169" priority="393"/>
    <cfRule type="duplicateValues" dxfId="168" priority="394"/>
  </conditionalFormatting>
  <conditionalFormatting sqref="E93:E103">
    <cfRule type="duplicateValues" dxfId="167" priority="397"/>
    <cfRule type="duplicateValues" dxfId="166" priority="398"/>
  </conditionalFormatting>
  <conditionalFormatting sqref="E143:E148">
    <cfRule type="duplicateValues" dxfId="165" priority="399"/>
    <cfRule type="duplicateValues" dxfId="164" priority="400"/>
  </conditionalFormatting>
  <conditionalFormatting sqref="E134:E149">
    <cfRule type="duplicateValues" dxfId="163" priority="403"/>
    <cfRule type="duplicateValues" dxfId="162" priority="404"/>
  </conditionalFormatting>
  <conditionalFormatting sqref="E182">
    <cfRule type="duplicateValues" dxfId="161" priority="407"/>
    <cfRule type="duplicateValues" dxfId="160" priority="408"/>
  </conditionalFormatting>
  <pageMargins left="0.7" right="0.7" top="0.75" bottom="0.75" header="0.3" footer="0.3"/>
  <pageSetup scale="91" orientation="landscape" horizontalDpi="0" verticalDpi="0" r:id="rId1"/>
  <rowBreaks count="1" manualBreakCount="1">
    <brk id="64" min="2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" workbookViewId="0">
      <selection activeCell="C12" sqref="C12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G144"/>
  <sheetViews>
    <sheetView topLeftCell="A61" zoomScale="40" zoomScaleNormal="40" workbookViewId="0">
      <selection activeCell="A56" sqref="A56"/>
    </sheetView>
  </sheetViews>
  <sheetFormatPr defaultRowHeight="15"/>
  <cols>
    <col min="2" max="2" width="17.28515625" bestFit="1" customWidth="1"/>
    <col min="3" max="3" width="168.42578125" bestFit="1" customWidth="1"/>
    <col min="4" max="4" width="39.85546875" bestFit="1" customWidth="1"/>
    <col min="5" max="5" width="39.5703125" customWidth="1"/>
    <col min="6" max="6" width="39.85546875" customWidth="1"/>
    <col min="7" max="7" width="39.85546875" bestFit="1" customWidth="1"/>
    <col min="8" max="8" width="63.7109375" customWidth="1"/>
    <col min="10" max="10" width="17.28515625" bestFit="1" customWidth="1"/>
    <col min="11" max="11" width="167.85546875" bestFit="1" customWidth="1"/>
    <col min="12" max="12" width="34.140625" customWidth="1"/>
    <col min="13" max="14" width="39.85546875" bestFit="1" customWidth="1"/>
    <col min="15" max="15" width="27.28515625" bestFit="1" customWidth="1"/>
    <col min="19" max="19" width="17.28515625" bestFit="1" customWidth="1"/>
    <col min="20" max="20" width="167.85546875" bestFit="1" customWidth="1"/>
    <col min="21" max="21" width="34.140625" bestFit="1" customWidth="1"/>
    <col min="22" max="23" width="39.85546875" bestFit="1" customWidth="1"/>
    <col min="24" max="24" width="27.28515625" bestFit="1" customWidth="1"/>
    <col min="28" max="28" width="17.28515625" bestFit="1" customWidth="1"/>
    <col min="29" max="29" width="160.42578125" bestFit="1" customWidth="1"/>
    <col min="30" max="30" width="34.140625" bestFit="1" customWidth="1"/>
    <col min="31" max="32" width="39.85546875" bestFit="1" customWidth="1"/>
    <col min="33" max="33" width="27.28515625" bestFit="1" customWidth="1"/>
  </cols>
  <sheetData>
    <row r="4" spans="2:33" ht="39">
      <c r="B4" s="460" t="s">
        <v>206</v>
      </c>
      <c r="C4" s="461"/>
      <c r="D4" s="461"/>
      <c r="E4" s="461"/>
      <c r="F4" s="461"/>
      <c r="G4" s="462"/>
      <c r="J4" s="460" t="s">
        <v>275</v>
      </c>
      <c r="K4" s="461"/>
      <c r="L4" s="461"/>
      <c r="M4" s="461"/>
      <c r="N4" s="461"/>
      <c r="O4" s="462"/>
      <c r="S4" s="460" t="s">
        <v>277</v>
      </c>
      <c r="T4" s="461"/>
      <c r="U4" s="461"/>
      <c r="V4" s="461"/>
      <c r="W4" s="461"/>
      <c r="X4" s="462"/>
      <c r="AB4" s="460" t="s">
        <v>276</v>
      </c>
      <c r="AC4" s="461"/>
      <c r="AD4" s="461"/>
      <c r="AE4" s="461"/>
      <c r="AF4" s="461"/>
      <c r="AG4" s="462"/>
    </row>
    <row r="5" spans="2:33" ht="39">
      <c r="B5" s="218" t="s">
        <v>167</v>
      </c>
      <c r="C5" s="218" t="s">
        <v>169</v>
      </c>
      <c r="D5" s="218" t="s">
        <v>170</v>
      </c>
      <c r="E5" s="218" t="s">
        <v>174</v>
      </c>
      <c r="F5" s="218" t="s">
        <v>171</v>
      </c>
      <c r="G5" s="218" t="s">
        <v>168</v>
      </c>
      <c r="J5" s="218" t="s">
        <v>167</v>
      </c>
      <c r="K5" s="218" t="s">
        <v>169</v>
      </c>
      <c r="L5" s="218" t="s">
        <v>170</v>
      </c>
      <c r="M5" s="218" t="s">
        <v>174</v>
      </c>
      <c r="N5" s="218" t="s">
        <v>171</v>
      </c>
      <c r="O5" s="218" t="s">
        <v>168</v>
      </c>
      <c r="S5" s="218" t="s">
        <v>167</v>
      </c>
      <c r="T5" s="218" t="s">
        <v>169</v>
      </c>
      <c r="U5" s="218" t="s">
        <v>170</v>
      </c>
      <c r="V5" s="218" t="s">
        <v>174</v>
      </c>
      <c r="W5" s="218" t="s">
        <v>171</v>
      </c>
      <c r="X5" s="218" t="s">
        <v>168</v>
      </c>
      <c r="AB5" s="218" t="s">
        <v>167</v>
      </c>
      <c r="AC5" s="218" t="s">
        <v>169</v>
      </c>
      <c r="AD5" s="218" t="s">
        <v>170</v>
      </c>
      <c r="AE5" s="218" t="s">
        <v>174</v>
      </c>
      <c r="AF5" s="218" t="s">
        <v>171</v>
      </c>
      <c r="AG5" s="218" t="s">
        <v>168</v>
      </c>
    </row>
    <row r="6" spans="2:33" ht="156">
      <c r="B6" s="236">
        <v>1</v>
      </c>
      <c r="C6" s="200" t="s">
        <v>234</v>
      </c>
      <c r="D6" s="236">
        <v>33649726</v>
      </c>
      <c r="E6" s="234"/>
      <c r="F6" s="203" t="s">
        <v>173</v>
      </c>
      <c r="G6" s="230">
        <v>17640</v>
      </c>
      <c r="J6" s="236">
        <v>1</v>
      </c>
      <c r="K6" s="200" t="s">
        <v>234</v>
      </c>
      <c r="L6" s="236">
        <v>33649726</v>
      </c>
      <c r="M6" s="234"/>
      <c r="N6" s="203" t="s">
        <v>173</v>
      </c>
      <c r="O6" s="230">
        <v>17640</v>
      </c>
      <c r="S6" s="236">
        <v>1</v>
      </c>
      <c r="T6" s="200" t="s">
        <v>240</v>
      </c>
      <c r="U6" s="236">
        <v>33649734</v>
      </c>
      <c r="V6" s="234"/>
      <c r="W6" s="203" t="s">
        <v>173</v>
      </c>
      <c r="X6" s="230">
        <v>9600</v>
      </c>
      <c r="AB6" s="236">
        <v>1</v>
      </c>
      <c r="AC6" s="200" t="s">
        <v>238</v>
      </c>
      <c r="AD6" s="236">
        <v>33649730</v>
      </c>
      <c r="AE6" s="234"/>
      <c r="AF6" s="203" t="s">
        <v>173</v>
      </c>
      <c r="AG6" s="230">
        <v>17820</v>
      </c>
    </row>
    <row r="7" spans="2:33" ht="156">
      <c r="B7" s="236">
        <v>2</v>
      </c>
      <c r="C7" s="200" t="s">
        <v>235</v>
      </c>
      <c r="D7" s="236">
        <v>33649727</v>
      </c>
      <c r="E7" s="234"/>
      <c r="F7" s="203" t="s">
        <v>173</v>
      </c>
      <c r="G7" s="230">
        <v>17820</v>
      </c>
      <c r="J7" s="236">
        <v>2</v>
      </c>
      <c r="K7" s="200" t="s">
        <v>235</v>
      </c>
      <c r="L7" s="236">
        <v>33649727</v>
      </c>
      <c r="M7" s="234"/>
      <c r="N7" s="203" t="s">
        <v>173</v>
      </c>
      <c r="O7" s="230">
        <v>17820</v>
      </c>
      <c r="S7" s="236">
        <v>2</v>
      </c>
      <c r="T7" s="200" t="s">
        <v>241</v>
      </c>
      <c r="U7" s="236">
        <v>33649735</v>
      </c>
      <c r="V7" s="234"/>
      <c r="W7" s="203" t="s">
        <v>173</v>
      </c>
      <c r="X7" s="230">
        <v>9600</v>
      </c>
      <c r="AB7" s="236">
        <v>2</v>
      </c>
      <c r="AC7" s="200" t="s">
        <v>248</v>
      </c>
      <c r="AD7" s="236">
        <v>33649732</v>
      </c>
      <c r="AE7" s="234"/>
      <c r="AF7" s="203" t="s">
        <v>173</v>
      </c>
      <c r="AG7" s="230">
        <v>14400</v>
      </c>
    </row>
    <row r="8" spans="2:33" ht="156">
      <c r="B8" s="236">
        <v>3</v>
      </c>
      <c r="C8" s="200" t="s">
        <v>236</v>
      </c>
      <c r="D8" s="236">
        <v>33649728</v>
      </c>
      <c r="E8" s="234"/>
      <c r="F8" s="203" t="s">
        <v>173</v>
      </c>
      <c r="G8" s="230">
        <v>26460</v>
      </c>
      <c r="J8" s="236">
        <v>3</v>
      </c>
      <c r="K8" s="200" t="s">
        <v>236</v>
      </c>
      <c r="L8" s="236">
        <v>33649728</v>
      </c>
      <c r="M8" s="234"/>
      <c r="N8" s="203" t="s">
        <v>173</v>
      </c>
      <c r="O8" s="230">
        <v>26460</v>
      </c>
      <c r="S8" s="236">
        <v>3</v>
      </c>
      <c r="T8" s="200" t="s">
        <v>244</v>
      </c>
      <c r="U8" s="236">
        <v>33649738</v>
      </c>
      <c r="V8" s="234"/>
      <c r="W8" s="203" t="s">
        <v>173</v>
      </c>
      <c r="X8" s="216">
        <v>29700</v>
      </c>
      <c r="AB8" s="236">
        <v>3</v>
      </c>
      <c r="AC8" s="200" t="s">
        <v>249</v>
      </c>
      <c r="AD8" s="236">
        <v>33649733</v>
      </c>
      <c r="AE8" s="234"/>
      <c r="AF8" s="203" t="s">
        <v>173</v>
      </c>
      <c r="AG8" s="230">
        <v>14400</v>
      </c>
    </row>
    <row r="9" spans="2:33" ht="156">
      <c r="B9" s="236">
        <v>4</v>
      </c>
      <c r="C9" s="200" t="s">
        <v>237</v>
      </c>
      <c r="D9" s="236">
        <v>33649729</v>
      </c>
      <c r="E9" s="234"/>
      <c r="F9" s="203" t="s">
        <v>173</v>
      </c>
      <c r="G9" s="230">
        <v>26460</v>
      </c>
      <c r="J9" s="236">
        <v>4</v>
      </c>
      <c r="K9" s="200" t="s">
        <v>237</v>
      </c>
      <c r="L9" s="236">
        <v>33649729</v>
      </c>
      <c r="M9" s="234"/>
      <c r="N9" s="203" t="s">
        <v>173</v>
      </c>
      <c r="O9" s="230">
        <v>26460</v>
      </c>
      <c r="S9" s="236">
        <v>4</v>
      </c>
      <c r="T9" s="200" t="s">
        <v>251</v>
      </c>
      <c r="U9" s="236">
        <v>33649739</v>
      </c>
      <c r="V9" s="234"/>
      <c r="W9" s="203" t="s">
        <v>173</v>
      </c>
      <c r="X9" s="216">
        <v>29700</v>
      </c>
      <c r="AB9" s="236">
        <v>4</v>
      </c>
      <c r="AC9" s="200" t="s">
        <v>242</v>
      </c>
      <c r="AD9" s="236">
        <v>33649736</v>
      </c>
      <c r="AE9" s="234"/>
      <c r="AF9" s="203" t="s">
        <v>173</v>
      </c>
      <c r="AG9" s="216">
        <v>14400</v>
      </c>
    </row>
    <row r="10" spans="2:33" ht="156">
      <c r="B10" s="236">
        <v>5</v>
      </c>
      <c r="C10" s="200" t="s">
        <v>238</v>
      </c>
      <c r="D10" s="236">
        <v>33649730</v>
      </c>
      <c r="E10" s="234"/>
      <c r="F10" s="203" t="s">
        <v>173</v>
      </c>
      <c r="G10" s="230">
        <v>17820</v>
      </c>
      <c r="J10" s="236">
        <v>5</v>
      </c>
      <c r="K10" s="200" t="s">
        <v>239</v>
      </c>
      <c r="L10" s="236">
        <v>33649731</v>
      </c>
      <c r="M10" s="234"/>
      <c r="N10" s="203" t="s">
        <v>173</v>
      </c>
      <c r="O10" s="230">
        <v>34560</v>
      </c>
      <c r="S10" s="236">
        <v>5</v>
      </c>
      <c r="T10" s="200" t="s">
        <v>250</v>
      </c>
      <c r="U10" s="236">
        <v>33649740</v>
      </c>
      <c r="V10" s="234"/>
      <c r="W10" s="203" t="s">
        <v>173</v>
      </c>
      <c r="X10" s="216">
        <v>44100</v>
      </c>
      <c r="AB10" s="236">
        <v>5</v>
      </c>
      <c r="AC10" s="200" t="s">
        <v>243</v>
      </c>
      <c r="AD10" s="236">
        <v>33649737</v>
      </c>
      <c r="AE10" s="234"/>
      <c r="AF10" s="203" t="s">
        <v>173</v>
      </c>
      <c r="AG10" s="216">
        <v>14400</v>
      </c>
    </row>
    <row r="11" spans="2:33" ht="156">
      <c r="B11" s="236">
        <v>6</v>
      </c>
      <c r="C11" s="200" t="s">
        <v>239</v>
      </c>
      <c r="D11" s="236">
        <v>33649731</v>
      </c>
      <c r="E11" s="234"/>
      <c r="F11" s="203" t="s">
        <v>173</v>
      </c>
      <c r="G11" s="230">
        <v>34560</v>
      </c>
      <c r="J11" s="236">
        <v>6</v>
      </c>
      <c r="K11" s="200" t="s">
        <v>245</v>
      </c>
      <c r="L11" s="236">
        <v>33649742</v>
      </c>
      <c r="M11" s="234"/>
      <c r="N11" s="203" t="s">
        <v>173</v>
      </c>
      <c r="O11" s="216">
        <v>28800</v>
      </c>
      <c r="S11" s="236">
        <v>6</v>
      </c>
      <c r="T11" s="200" t="s">
        <v>233</v>
      </c>
      <c r="U11" s="236">
        <v>33649741</v>
      </c>
      <c r="V11" s="234"/>
      <c r="W11" s="203" t="s">
        <v>173</v>
      </c>
      <c r="X11" s="216">
        <v>44100</v>
      </c>
      <c r="AB11" s="236">
        <v>6</v>
      </c>
      <c r="AC11" s="200" t="s">
        <v>253</v>
      </c>
      <c r="AD11" s="236">
        <v>33649745</v>
      </c>
      <c r="AE11" s="234"/>
      <c r="AF11" s="203" t="s">
        <v>173</v>
      </c>
      <c r="AG11" s="216">
        <v>19200</v>
      </c>
    </row>
    <row r="12" spans="2:33" ht="156">
      <c r="B12" s="236">
        <v>7</v>
      </c>
      <c r="C12" s="200" t="s">
        <v>248</v>
      </c>
      <c r="D12" s="236">
        <v>33649732</v>
      </c>
      <c r="E12" s="234"/>
      <c r="F12" s="203" t="s">
        <v>173</v>
      </c>
      <c r="G12" s="230">
        <v>14400</v>
      </c>
      <c r="J12" s="236">
        <v>7</v>
      </c>
      <c r="K12" s="200" t="s">
        <v>246</v>
      </c>
      <c r="L12" s="236">
        <v>33649743</v>
      </c>
      <c r="M12" s="234"/>
      <c r="N12" s="203" t="s">
        <v>173</v>
      </c>
      <c r="O12" s="216">
        <v>29400</v>
      </c>
      <c r="S12" s="464" t="s">
        <v>172</v>
      </c>
      <c r="T12" s="465"/>
      <c r="U12" s="236"/>
      <c r="V12" s="236"/>
      <c r="W12" s="236"/>
      <c r="X12" s="216">
        <f>SUM(X2:X11)</f>
        <v>166800</v>
      </c>
      <c r="AB12" s="464" t="s">
        <v>172</v>
      </c>
      <c r="AC12" s="465"/>
      <c r="AD12" s="236"/>
      <c r="AE12" s="236"/>
      <c r="AF12" s="236"/>
      <c r="AG12" s="216">
        <f>SUM(AG2:AG11)</f>
        <v>94620</v>
      </c>
    </row>
    <row r="13" spans="2:33" ht="156">
      <c r="B13" s="236">
        <v>8</v>
      </c>
      <c r="C13" s="200" t="s">
        <v>249</v>
      </c>
      <c r="D13" s="236">
        <v>33649733</v>
      </c>
      <c r="E13" s="234"/>
      <c r="F13" s="203" t="s">
        <v>173</v>
      </c>
      <c r="G13" s="230">
        <v>14400</v>
      </c>
      <c r="J13" s="236">
        <v>8</v>
      </c>
      <c r="K13" s="200" t="s">
        <v>252</v>
      </c>
      <c r="L13" s="236">
        <v>33649744</v>
      </c>
      <c r="M13" s="234"/>
      <c r="N13" s="203" t="s">
        <v>173</v>
      </c>
      <c r="O13" s="216">
        <v>38400</v>
      </c>
    </row>
    <row r="14" spans="2:33" ht="156">
      <c r="B14" s="236">
        <v>9</v>
      </c>
      <c r="C14" s="200" t="s">
        <v>240</v>
      </c>
      <c r="D14" s="236">
        <v>33649734</v>
      </c>
      <c r="E14" s="234"/>
      <c r="F14" s="203" t="s">
        <v>173</v>
      </c>
      <c r="G14" s="230">
        <v>9600</v>
      </c>
      <c r="J14" s="236">
        <v>9</v>
      </c>
      <c r="K14" s="200" t="s">
        <v>247</v>
      </c>
      <c r="L14" s="236">
        <v>33649746</v>
      </c>
      <c r="M14" s="234"/>
      <c r="N14" s="203" t="s">
        <v>173</v>
      </c>
      <c r="O14" s="216">
        <v>19200</v>
      </c>
    </row>
    <row r="15" spans="2:33" ht="156">
      <c r="B15" s="236">
        <v>10</v>
      </c>
      <c r="C15" s="200" t="s">
        <v>241</v>
      </c>
      <c r="D15" s="236">
        <v>33649735</v>
      </c>
      <c r="E15" s="234"/>
      <c r="F15" s="203" t="s">
        <v>173</v>
      </c>
      <c r="G15" s="230">
        <v>9600</v>
      </c>
      <c r="J15" s="464" t="s">
        <v>172</v>
      </c>
      <c r="K15" s="465"/>
      <c r="L15" s="236"/>
      <c r="M15" s="236"/>
      <c r="N15" s="236"/>
      <c r="O15" s="216">
        <f>SUM(O5:O14)</f>
        <v>238740</v>
      </c>
    </row>
    <row r="16" spans="2:33" ht="39">
      <c r="C16" s="236" t="s">
        <v>172</v>
      </c>
      <c r="D16" s="236"/>
      <c r="E16" s="236"/>
      <c r="F16" s="236"/>
      <c r="G16" s="216">
        <f>SUM(G6:G15)</f>
        <v>188760</v>
      </c>
    </row>
    <row r="17" spans="2:8" ht="39">
      <c r="B17" s="237"/>
      <c r="C17" s="233" t="s">
        <v>273</v>
      </c>
      <c r="D17" s="237"/>
      <c r="E17" s="233" t="s">
        <v>273</v>
      </c>
      <c r="F17" s="237"/>
      <c r="G17" s="222"/>
    </row>
    <row r="18" spans="2:8" ht="39">
      <c r="B18" s="237"/>
      <c r="C18" s="228" t="s">
        <v>209</v>
      </c>
      <c r="D18" s="237"/>
      <c r="E18" s="228" t="s">
        <v>207</v>
      </c>
      <c r="F18" s="228"/>
      <c r="G18" s="228"/>
    </row>
    <row r="19" spans="2:8" ht="39">
      <c r="B19" s="237"/>
      <c r="C19" s="237" t="s">
        <v>254</v>
      </c>
      <c r="D19" s="237"/>
      <c r="E19" s="237"/>
      <c r="F19" s="237"/>
      <c r="G19" s="237"/>
    </row>
    <row r="20" spans="2:8" ht="39">
      <c r="B20" s="237"/>
      <c r="C20" s="233" t="s">
        <v>273</v>
      </c>
      <c r="D20" s="212"/>
      <c r="E20" s="233" t="s">
        <v>273</v>
      </c>
      <c r="F20" s="212"/>
      <c r="G20" s="212"/>
    </row>
    <row r="21" spans="2:8" ht="39">
      <c r="B21" s="237"/>
      <c r="C21" s="228" t="s">
        <v>208</v>
      </c>
      <c r="D21" s="237"/>
      <c r="E21" s="229" t="s">
        <v>175</v>
      </c>
      <c r="F21" s="229"/>
      <c r="G21" s="229"/>
    </row>
    <row r="22" spans="2:8" ht="39">
      <c r="B22" s="237"/>
      <c r="C22" s="237"/>
      <c r="D22" s="237"/>
      <c r="E22" s="237"/>
      <c r="F22" s="237"/>
      <c r="G22" s="222"/>
    </row>
    <row r="23" spans="2:8" ht="39">
      <c r="B23" s="237"/>
      <c r="C23" s="237"/>
      <c r="D23" s="237"/>
      <c r="E23" s="237"/>
      <c r="F23" s="237"/>
      <c r="G23" s="222"/>
    </row>
    <row r="24" spans="2:8" ht="39">
      <c r="B24" s="457" t="s">
        <v>206</v>
      </c>
      <c r="C24" s="457"/>
      <c r="D24" s="457"/>
      <c r="E24" s="457"/>
      <c r="F24" s="457"/>
      <c r="G24" s="457"/>
    </row>
    <row r="25" spans="2:8" ht="39">
      <c r="B25" s="218" t="s">
        <v>167</v>
      </c>
      <c r="C25" s="218" t="s">
        <v>169</v>
      </c>
      <c r="D25" s="218" t="s">
        <v>170</v>
      </c>
      <c r="E25" s="218" t="s">
        <v>174</v>
      </c>
      <c r="F25" s="218" t="s">
        <v>171</v>
      </c>
      <c r="G25" s="218" t="s">
        <v>168</v>
      </c>
      <c r="H25" s="218" t="s">
        <v>74</v>
      </c>
    </row>
    <row r="26" spans="2:8" ht="156">
      <c r="B26" s="236">
        <v>1</v>
      </c>
      <c r="C26" s="200" t="s">
        <v>242</v>
      </c>
      <c r="D26" s="236">
        <v>33649736</v>
      </c>
      <c r="E26" s="234"/>
      <c r="F26" s="203" t="s">
        <v>173</v>
      </c>
      <c r="G26" s="216">
        <v>14400</v>
      </c>
      <c r="H26" s="134"/>
    </row>
    <row r="27" spans="2:8" ht="156">
      <c r="B27" s="236">
        <v>2</v>
      </c>
      <c r="C27" s="200" t="s">
        <v>243</v>
      </c>
      <c r="D27" s="236">
        <v>33649737</v>
      </c>
      <c r="E27" s="234"/>
      <c r="F27" s="203" t="s">
        <v>173</v>
      </c>
      <c r="G27" s="216">
        <v>14400</v>
      </c>
    </row>
    <row r="28" spans="2:8" ht="156">
      <c r="B28" s="236">
        <v>3</v>
      </c>
      <c r="C28" s="200" t="s">
        <v>244</v>
      </c>
      <c r="D28" s="236">
        <v>33649738</v>
      </c>
      <c r="E28" s="234"/>
      <c r="F28" s="203" t="s">
        <v>173</v>
      </c>
      <c r="G28" s="216">
        <v>29700</v>
      </c>
    </row>
    <row r="29" spans="2:8" ht="156">
      <c r="B29" s="236">
        <v>4</v>
      </c>
      <c r="C29" s="200" t="s">
        <v>251</v>
      </c>
      <c r="D29" s="236">
        <v>33649739</v>
      </c>
      <c r="E29" s="234"/>
      <c r="F29" s="203" t="s">
        <v>173</v>
      </c>
      <c r="G29" s="216">
        <v>29700</v>
      </c>
    </row>
    <row r="30" spans="2:8" ht="156">
      <c r="B30" s="236">
        <v>5</v>
      </c>
      <c r="C30" s="200" t="s">
        <v>250</v>
      </c>
      <c r="D30" s="236">
        <v>33649740</v>
      </c>
      <c r="E30" s="234"/>
      <c r="F30" s="203" t="s">
        <v>173</v>
      </c>
      <c r="G30" s="216">
        <v>44100</v>
      </c>
    </row>
    <row r="31" spans="2:8" ht="117">
      <c r="B31" s="236">
        <v>6</v>
      </c>
      <c r="C31" s="200" t="s">
        <v>233</v>
      </c>
      <c r="D31" s="236">
        <v>33649741</v>
      </c>
      <c r="E31" s="234"/>
      <c r="F31" s="203" t="s">
        <v>173</v>
      </c>
      <c r="G31" s="216">
        <v>44100</v>
      </c>
    </row>
    <row r="32" spans="2:8" ht="156">
      <c r="B32" s="236">
        <v>7</v>
      </c>
      <c r="C32" s="200" t="s">
        <v>245</v>
      </c>
      <c r="D32" s="236">
        <v>33649742</v>
      </c>
      <c r="E32" s="234"/>
      <c r="F32" s="203" t="s">
        <v>173</v>
      </c>
      <c r="G32" s="216">
        <v>28800</v>
      </c>
    </row>
    <row r="33" spans="2:7" ht="156">
      <c r="B33" s="236">
        <v>8</v>
      </c>
      <c r="C33" s="200" t="s">
        <v>246</v>
      </c>
      <c r="D33" s="236">
        <v>33649743</v>
      </c>
      <c r="E33" s="234"/>
      <c r="F33" s="203" t="s">
        <v>173</v>
      </c>
      <c r="G33" s="216">
        <v>29400</v>
      </c>
    </row>
    <row r="34" spans="2:7" ht="156">
      <c r="B34" s="236">
        <v>9</v>
      </c>
      <c r="C34" s="200" t="s">
        <v>252</v>
      </c>
      <c r="D34" s="236">
        <v>33649744</v>
      </c>
      <c r="E34" s="234"/>
      <c r="F34" s="203" t="s">
        <v>173</v>
      </c>
      <c r="G34" s="216">
        <v>38400</v>
      </c>
    </row>
    <row r="35" spans="2:7" ht="156">
      <c r="B35" s="236">
        <v>10</v>
      </c>
      <c r="C35" s="200" t="s">
        <v>253</v>
      </c>
      <c r="D35" s="236">
        <v>33649745</v>
      </c>
      <c r="E35" s="234"/>
      <c r="F35" s="203" t="s">
        <v>173</v>
      </c>
      <c r="G35" s="216">
        <v>19200</v>
      </c>
    </row>
    <row r="36" spans="2:7" ht="156">
      <c r="B36" s="236">
        <v>11</v>
      </c>
      <c r="C36" s="200" t="s">
        <v>247</v>
      </c>
      <c r="D36" s="236">
        <v>33649746</v>
      </c>
      <c r="E36" s="234"/>
      <c r="F36" s="203" t="s">
        <v>173</v>
      </c>
      <c r="G36" s="216">
        <v>19200</v>
      </c>
    </row>
    <row r="37" spans="2:7" ht="39">
      <c r="C37" s="247" t="s">
        <v>172</v>
      </c>
      <c r="D37" s="247"/>
      <c r="E37" s="247"/>
      <c r="F37" s="247"/>
      <c r="G37" s="219">
        <f>SUM(G26:G36)</f>
        <v>311400</v>
      </c>
    </row>
    <row r="38" spans="2:7" ht="39">
      <c r="B38" s="237"/>
      <c r="C38" s="205"/>
      <c r="D38" s="237"/>
      <c r="E38" s="206"/>
      <c r="F38" s="207"/>
      <c r="G38" s="232"/>
    </row>
    <row r="39" spans="2:7" ht="39">
      <c r="B39" s="237"/>
      <c r="C39" s="205"/>
      <c r="D39" s="237"/>
      <c r="E39" s="206"/>
      <c r="F39" s="207"/>
      <c r="G39" s="232"/>
    </row>
    <row r="40" spans="2:7" ht="39">
      <c r="B40" s="237"/>
      <c r="C40" s="205"/>
      <c r="D40" s="237"/>
      <c r="E40" s="206"/>
      <c r="F40" s="207"/>
      <c r="G40" s="232"/>
    </row>
    <row r="41" spans="2:7" ht="39">
      <c r="B41" s="237"/>
      <c r="C41" s="205"/>
      <c r="D41" s="237"/>
      <c r="E41" s="206"/>
      <c r="F41" s="207"/>
      <c r="G41" s="232"/>
    </row>
    <row r="42" spans="2:7" ht="39">
      <c r="B42" s="237"/>
      <c r="C42" s="155"/>
      <c r="D42" s="155"/>
      <c r="E42" s="155"/>
      <c r="F42" s="155"/>
      <c r="G42" s="155"/>
    </row>
    <row r="43" spans="2:7" ht="39">
      <c r="B43" s="237"/>
      <c r="C43" s="155"/>
      <c r="D43" s="155"/>
      <c r="E43" s="458"/>
      <c r="F43" s="458"/>
      <c r="G43" s="155"/>
    </row>
    <row r="44" spans="2:7" ht="39">
      <c r="B44" s="237"/>
      <c r="C44" s="235" t="s">
        <v>209</v>
      </c>
      <c r="D44" s="224"/>
      <c r="E44" s="459" t="s">
        <v>207</v>
      </c>
      <c r="F44" s="459"/>
      <c r="G44" s="155"/>
    </row>
    <row r="45" spans="2:7" ht="39">
      <c r="B45" s="238"/>
      <c r="C45" s="155"/>
      <c r="D45" s="155"/>
      <c r="E45" s="155"/>
      <c r="F45" s="155"/>
      <c r="G45" s="155"/>
    </row>
    <row r="47" spans="2:7" s="244" customFormat="1"/>
    <row r="51" spans="2:8" ht="61.5">
      <c r="B51" s="463" t="s">
        <v>278</v>
      </c>
      <c r="C51" s="463"/>
      <c r="D51" s="463"/>
      <c r="E51" s="463"/>
      <c r="F51" s="463"/>
      <c r="G51" s="463"/>
      <c r="H51" s="463"/>
    </row>
    <row r="52" spans="2:8" ht="39">
      <c r="B52" s="218" t="s">
        <v>167</v>
      </c>
      <c r="C52" s="218" t="s">
        <v>169</v>
      </c>
      <c r="D52" s="218" t="s">
        <v>170</v>
      </c>
      <c r="E52" s="218" t="s">
        <v>174</v>
      </c>
      <c r="F52" s="218" t="s">
        <v>171</v>
      </c>
      <c r="G52" s="218" t="s">
        <v>168</v>
      </c>
      <c r="H52" s="218" t="s">
        <v>74</v>
      </c>
    </row>
    <row r="53" spans="2:8" ht="156">
      <c r="B53" s="236">
        <v>1</v>
      </c>
      <c r="C53" s="200" t="s">
        <v>234</v>
      </c>
      <c r="D53" s="236">
        <v>33649726</v>
      </c>
      <c r="E53" s="234"/>
      <c r="F53" s="203" t="s">
        <v>173</v>
      </c>
      <c r="G53" s="230">
        <v>17640</v>
      </c>
      <c r="H53" s="134"/>
    </row>
    <row r="54" spans="2:8" ht="156">
      <c r="B54" s="236">
        <v>2</v>
      </c>
      <c r="C54" s="200" t="s">
        <v>235</v>
      </c>
      <c r="D54" s="236">
        <v>33649727</v>
      </c>
      <c r="E54" s="234"/>
      <c r="F54" s="203" t="s">
        <v>173</v>
      </c>
      <c r="G54" s="230">
        <v>17820</v>
      </c>
      <c r="H54" s="134"/>
    </row>
    <row r="55" spans="2:8" ht="156">
      <c r="B55" s="256">
        <v>3</v>
      </c>
      <c r="C55" s="200" t="s">
        <v>236</v>
      </c>
      <c r="D55" s="236">
        <v>33649728</v>
      </c>
      <c r="E55" s="234"/>
      <c r="F55" s="203" t="s">
        <v>173</v>
      </c>
      <c r="G55" s="230">
        <v>26460</v>
      </c>
      <c r="H55" s="134"/>
    </row>
    <row r="56" spans="2:8" ht="156">
      <c r="B56" s="256">
        <v>4</v>
      </c>
      <c r="C56" s="200" t="s">
        <v>237</v>
      </c>
      <c r="D56" s="236">
        <v>33649729</v>
      </c>
      <c r="E56" s="234"/>
      <c r="F56" s="203" t="s">
        <v>173</v>
      </c>
      <c r="G56" s="230">
        <v>26460</v>
      </c>
      <c r="H56" s="134"/>
    </row>
    <row r="57" spans="2:8" ht="156">
      <c r="B57" s="256">
        <v>5</v>
      </c>
      <c r="C57" s="200" t="s">
        <v>239</v>
      </c>
      <c r="D57" s="236">
        <v>33649731</v>
      </c>
      <c r="E57" s="234"/>
      <c r="F57" s="203" t="s">
        <v>173</v>
      </c>
      <c r="G57" s="230">
        <v>34560</v>
      </c>
      <c r="H57" s="134"/>
    </row>
    <row r="58" spans="2:8" ht="156">
      <c r="B58" s="256">
        <v>6</v>
      </c>
      <c r="C58" s="200" t="s">
        <v>245</v>
      </c>
      <c r="D58" s="236">
        <v>33649742</v>
      </c>
      <c r="E58" s="234"/>
      <c r="F58" s="203" t="s">
        <v>173</v>
      </c>
      <c r="G58" s="216">
        <v>28800</v>
      </c>
      <c r="H58" s="134"/>
    </row>
    <row r="59" spans="2:8" ht="156">
      <c r="B59" s="256">
        <v>7</v>
      </c>
      <c r="C59" s="200" t="s">
        <v>246</v>
      </c>
      <c r="D59" s="236">
        <v>33649743</v>
      </c>
      <c r="E59" s="234"/>
      <c r="F59" s="203" t="s">
        <v>173</v>
      </c>
      <c r="G59" s="216">
        <v>29400</v>
      </c>
      <c r="H59" s="134"/>
    </row>
    <row r="60" spans="2:8" ht="156">
      <c r="B60" s="256">
        <v>8</v>
      </c>
      <c r="C60" s="200" t="s">
        <v>252</v>
      </c>
      <c r="D60" s="236">
        <v>33649744</v>
      </c>
      <c r="E60" s="234"/>
      <c r="F60" s="203" t="s">
        <v>173</v>
      </c>
      <c r="G60" s="216">
        <v>38400</v>
      </c>
      <c r="H60" s="134"/>
    </row>
    <row r="61" spans="2:8" s="258" customFormat="1" ht="156">
      <c r="B61" s="256">
        <v>9</v>
      </c>
      <c r="C61" s="200" t="s">
        <v>247</v>
      </c>
      <c r="D61" s="236">
        <v>33649746</v>
      </c>
      <c r="E61" s="255"/>
      <c r="F61" s="203" t="s">
        <v>173</v>
      </c>
      <c r="G61" s="216">
        <v>19200</v>
      </c>
      <c r="H61" s="134"/>
    </row>
    <row r="62" spans="2:8" s="258" customFormat="1" ht="156">
      <c r="B62" s="256">
        <v>10</v>
      </c>
      <c r="C62" s="200" t="s">
        <v>289</v>
      </c>
      <c r="D62" s="256"/>
      <c r="E62" s="255"/>
      <c r="F62" s="203" t="s">
        <v>173</v>
      </c>
      <c r="G62" s="216">
        <v>28800</v>
      </c>
      <c r="H62" s="134"/>
    </row>
    <row r="63" spans="2:8" s="258" customFormat="1" ht="156">
      <c r="B63" s="256">
        <v>11</v>
      </c>
      <c r="C63" s="200" t="s">
        <v>299</v>
      </c>
      <c r="D63" s="256"/>
      <c r="E63" s="255"/>
      <c r="F63" s="203" t="s">
        <v>173</v>
      </c>
      <c r="G63" s="216">
        <v>28800</v>
      </c>
      <c r="H63" s="134"/>
    </row>
    <row r="64" spans="2:8" s="258" customFormat="1" ht="156">
      <c r="B64" s="256">
        <v>12</v>
      </c>
      <c r="C64" s="200" t="s">
        <v>290</v>
      </c>
      <c r="D64" s="256"/>
      <c r="E64" s="255"/>
      <c r="F64" s="203" t="s">
        <v>173</v>
      </c>
      <c r="G64" s="216">
        <v>29400</v>
      </c>
      <c r="H64" s="134"/>
    </row>
    <row r="65" spans="2:8" s="258" customFormat="1" ht="156">
      <c r="B65" s="256">
        <v>13</v>
      </c>
      <c r="C65" s="200" t="s">
        <v>300</v>
      </c>
      <c r="D65" s="256"/>
      <c r="E65" s="255"/>
      <c r="F65" s="203" t="s">
        <v>173</v>
      </c>
      <c r="G65" s="216">
        <v>29400</v>
      </c>
      <c r="H65" s="134"/>
    </row>
    <row r="66" spans="2:8" s="258" customFormat="1" ht="156">
      <c r="B66" s="256">
        <v>14</v>
      </c>
      <c r="C66" s="200" t="s">
        <v>291</v>
      </c>
      <c r="D66" s="256"/>
      <c r="E66" s="255"/>
      <c r="F66" s="203" t="s">
        <v>173</v>
      </c>
      <c r="G66" s="216">
        <v>38400</v>
      </c>
      <c r="H66" s="134"/>
    </row>
    <row r="67" spans="2:8" s="258" customFormat="1" ht="156">
      <c r="B67" s="256">
        <v>15</v>
      </c>
      <c r="C67" s="200" t="s">
        <v>301</v>
      </c>
      <c r="D67" s="256"/>
      <c r="E67" s="255"/>
      <c r="F67" s="203" t="s">
        <v>173</v>
      </c>
      <c r="G67" s="216">
        <v>38400</v>
      </c>
      <c r="H67" s="134"/>
    </row>
    <row r="68" spans="2:8" s="258" customFormat="1" ht="156">
      <c r="B68" s="256">
        <v>16</v>
      </c>
      <c r="C68" s="200" t="s">
        <v>293</v>
      </c>
      <c r="D68" s="256"/>
      <c r="E68" s="255"/>
      <c r="F68" s="203" t="s">
        <v>173</v>
      </c>
      <c r="G68" s="216">
        <v>19200</v>
      </c>
      <c r="H68" s="134"/>
    </row>
    <row r="69" spans="2:8" ht="156">
      <c r="B69" s="256">
        <v>17</v>
      </c>
      <c r="C69" s="200" t="s">
        <v>303</v>
      </c>
      <c r="E69" s="234"/>
      <c r="F69" s="203" t="s">
        <v>173</v>
      </c>
      <c r="G69" s="266">
        <v>19200</v>
      </c>
      <c r="H69" s="134"/>
    </row>
    <row r="70" spans="2:8" ht="69" customHeight="1">
      <c r="B70" s="134"/>
      <c r="C70" s="236" t="s">
        <v>172</v>
      </c>
      <c r="D70" s="246"/>
      <c r="E70" s="236"/>
      <c r="F70" s="236"/>
      <c r="G70" s="216">
        <f>SUM(G53:G69)</f>
        <v>470340</v>
      </c>
      <c r="H70" s="134"/>
    </row>
    <row r="79" spans="2:8" ht="61.5">
      <c r="B79" s="463" t="s">
        <v>279</v>
      </c>
      <c r="C79" s="463"/>
      <c r="D79" s="463"/>
      <c r="E79" s="463"/>
      <c r="F79" s="463"/>
      <c r="G79" s="463"/>
      <c r="H79" s="463"/>
    </row>
    <row r="80" spans="2:8" ht="39">
      <c r="B80" s="218" t="s">
        <v>167</v>
      </c>
      <c r="C80" s="218" t="s">
        <v>169</v>
      </c>
      <c r="D80" s="218" t="s">
        <v>170</v>
      </c>
      <c r="E80" s="218" t="s">
        <v>174</v>
      </c>
      <c r="F80" s="218" t="s">
        <v>171</v>
      </c>
      <c r="G80" s="218" t="s">
        <v>168</v>
      </c>
      <c r="H80" s="218" t="s">
        <v>74</v>
      </c>
    </row>
    <row r="81" spans="2:8" ht="117">
      <c r="B81" s="236">
        <v>1</v>
      </c>
      <c r="C81" s="200" t="s">
        <v>240</v>
      </c>
      <c r="D81" s="236">
        <v>33649734</v>
      </c>
      <c r="E81" s="234"/>
      <c r="F81" s="203" t="s">
        <v>173</v>
      </c>
      <c r="G81" s="230">
        <v>9600</v>
      </c>
      <c r="H81" s="134"/>
    </row>
    <row r="82" spans="2:8" ht="117">
      <c r="B82" s="236">
        <v>2</v>
      </c>
      <c r="C82" s="200" t="s">
        <v>241</v>
      </c>
      <c r="D82" s="236">
        <v>33649735</v>
      </c>
      <c r="E82" s="234"/>
      <c r="F82" s="203" t="s">
        <v>173</v>
      </c>
      <c r="G82" s="230">
        <v>9600</v>
      </c>
      <c r="H82" s="134"/>
    </row>
    <row r="83" spans="2:8" ht="117">
      <c r="B83" s="256">
        <v>3</v>
      </c>
      <c r="C83" s="200" t="s">
        <v>244</v>
      </c>
      <c r="D83" s="236">
        <v>33649738</v>
      </c>
      <c r="E83" s="234"/>
      <c r="F83" s="203" t="s">
        <v>173</v>
      </c>
      <c r="G83" s="216">
        <v>29700</v>
      </c>
      <c r="H83" s="134"/>
    </row>
    <row r="84" spans="2:8" ht="117">
      <c r="B84" s="256">
        <v>4</v>
      </c>
      <c r="C84" s="200" t="s">
        <v>251</v>
      </c>
      <c r="D84" s="236">
        <v>33649739</v>
      </c>
      <c r="E84" s="234"/>
      <c r="F84" s="203" t="s">
        <v>173</v>
      </c>
      <c r="G84" s="216">
        <v>29700</v>
      </c>
      <c r="H84" s="134"/>
    </row>
    <row r="85" spans="2:8" ht="117">
      <c r="B85" s="256">
        <v>5</v>
      </c>
      <c r="C85" s="200" t="s">
        <v>250</v>
      </c>
      <c r="D85" s="236">
        <v>33649740</v>
      </c>
      <c r="E85" s="234"/>
      <c r="F85" s="203" t="s">
        <v>173</v>
      </c>
      <c r="G85" s="216">
        <v>44100</v>
      </c>
      <c r="H85" s="134"/>
    </row>
    <row r="86" spans="2:8" s="258" customFormat="1" ht="78">
      <c r="B86" s="256">
        <v>6</v>
      </c>
      <c r="C86" s="200" t="s">
        <v>233</v>
      </c>
      <c r="D86" s="236">
        <v>33649741</v>
      </c>
      <c r="E86" s="255"/>
      <c r="F86" s="203" t="s">
        <v>173</v>
      </c>
      <c r="G86" s="216">
        <v>44100</v>
      </c>
      <c r="H86" s="134"/>
    </row>
    <row r="87" spans="2:8" s="258" customFormat="1" ht="156">
      <c r="B87" s="256">
        <v>7</v>
      </c>
      <c r="C87" s="200" t="s">
        <v>285</v>
      </c>
      <c r="D87" s="256"/>
      <c r="E87" s="255"/>
      <c r="F87" s="203" t="s">
        <v>173</v>
      </c>
      <c r="G87" s="216">
        <v>9600</v>
      </c>
      <c r="H87" s="134"/>
    </row>
    <row r="88" spans="2:8" s="258" customFormat="1" ht="117">
      <c r="B88" s="256">
        <v>8</v>
      </c>
      <c r="C88" s="200" t="s">
        <v>297</v>
      </c>
      <c r="D88" s="256"/>
      <c r="E88" s="255"/>
      <c r="F88" s="203" t="s">
        <v>173</v>
      </c>
      <c r="G88" s="216">
        <v>9600</v>
      </c>
      <c r="H88" s="134"/>
    </row>
    <row r="89" spans="2:8" s="258" customFormat="1" ht="156">
      <c r="B89" s="256">
        <v>9</v>
      </c>
      <c r="C89" s="200" t="s">
        <v>287</v>
      </c>
      <c r="D89" s="256"/>
      <c r="E89" s="255"/>
      <c r="F89" s="203" t="s">
        <v>173</v>
      </c>
      <c r="G89" s="216">
        <v>29700</v>
      </c>
      <c r="H89" s="134"/>
    </row>
    <row r="90" spans="2:8" s="258" customFormat="1" ht="117">
      <c r="B90" s="256">
        <v>10</v>
      </c>
      <c r="C90" s="200" t="s">
        <v>304</v>
      </c>
      <c r="D90" s="256"/>
      <c r="E90" s="255"/>
      <c r="F90" s="203" t="s">
        <v>173</v>
      </c>
      <c r="G90" s="216">
        <v>29700</v>
      </c>
      <c r="H90" s="134"/>
    </row>
    <row r="91" spans="2:8" s="258" customFormat="1" ht="156">
      <c r="B91" s="256">
        <v>11</v>
      </c>
      <c r="C91" s="200" t="s">
        <v>288</v>
      </c>
      <c r="D91" s="256"/>
      <c r="E91" s="255"/>
      <c r="F91" s="203" t="s">
        <v>173</v>
      </c>
      <c r="G91" s="216">
        <v>44100</v>
      </c>
      <c r="H91" s="134"/>
    </row>
    <row r="92" spans="2:8" ht="117">
      <c r="B92" s="256">
        <v>12</v>
      </c>
      <c r="C92" s="200" t="s">
        <v>305</v>
      </c>
      <c r="E92" s="234"/>
      <c r="F92" s="203" t="s">
        <v>173</v>
      </c>
      <c r="G92" s="266">
        <v>44100</v>
      </c>
      <c r="H92" s="134"/>
    </row>
    <row r="93" spans="2:8" ht="60" customHeight="1">
      <c r="B93" s="134"/>
      <c r="C93" s="236" t="s">
        <v>172</v>
      </c>
      <c r="D93" s="236"/>
      <c r="E93" s="236"/>
      <c r="F93" s="236"/>
      <c r="G93" s="216">
        <f>SUM(G81:G92)</f>
        <v>333600</v>
      </c>
      <c r="H93" s="134"/>
    </row>
    <row r="98" spans="1:8" ht="61.5">
      <c r="A98" s="134"/>
      <c r="B98" s="463" t="s">
        <v>280</v>
      </c>
      <c r="C98" s="463"/>
      <c r="D98" s="463"/>
      <c r="E98" s="463"/>
      <c r="F98" s="463"/>
      <c r="G98" s="463"/>
      <c r="H98" s="463"/>
    </row>
    <row r="99" spans="1:8" ht="39">
      <c r="A99" s="134"/>
      <c r="B99" s="218" t="s">
        <v>167</v>
      </c>
      <c r="C99" s="218" t="s">
        <v>169</v>
      </c>
      <c r="D99" s="218" t="s">
        <v>170</v>
      </c>
      <c r="E99" s="218" t="s">
        <v>174</v>
      </c>
      <c r="F99" s="218" t="s">
        <v>171</v>
      </c>
      <c r="G99" s="218" t="s">
        <v>168</v>
      </c>
      <c r="H99" s="218" t="s">
        <v>74</v>
      </c>
    </row>
    <row r="100" spans="1:8" ht="117">
      <c r="A100" s="134"/>
      <c r="B100" s="236">
        <v>1</v>
      </c>
      <c r="C100" s="200" t="s">
        <v>238</v>
      </c>
      <c r="D100" s="236">
        <v>33649730</v>
      </c>
      <c r="E100" s="234"/>
      <c r="F100" s="203" t="s">
        <v>173</v>
      </c>
      <c r="G100" s="230">
        <v>17820</v>
      </c>
      <c r="H100" s="134"/>
    </row>
    <row r="101" spans="1:8" ht="117">
      <c r="A101" s="134"/>
      <c r="B101" s="236">
        <v>2</v>
      </c>
      <c r="C101" s="200" t="s">
        <v>248</v>
      </c>
      <c r="D101" s="236">
        <v>33649732</v>
      </c>
      <c r="E101" s="234"/>
      <c r="F101" s="203" t="s">
        <v>173</v>
      </c>
      <c r="G101" s="230">
        <v>14400</v>
      </c>
      <c r="H101" s="134"/>
    </row>
    <row r="102" spans="1:8" ht="117">
      <c r="A102" s="134"/>
      <c r="B102" s="256">
        <v>3</v>
      </c>
      <c r="C102" s="200" t="s">
        <v>249</v>
      </c>
      <c r="D102" s="236">
        <v>33649733</v>
      </c>
      <c r="E102" s="234"/>
      <c r="F102" s="203" t="s">
        <v>173</v>
      </c>
      <c r="G102" s="230">
        <v>14400</v>
      </c>
      <c r="H102" s="134"/>
    </row>
    <row r="103" spans="1:8" ht="117">
      <c r="A103" s="134"/>
      <c r="B103" s="256">
        <v>4</v>
      </c>
      <c r="C103" s="200" t="s">
        <v>242</v>
      </c>
      <c r="D103" s="236">
        <v>33649736</v>
      </c>
      <c r="E103" s="234"/>
      <c r="F103" s="203" t="s">
        <v>173</v>
      </c>
      <c r="G103" s="216">
        <v>14400</v>
      </c>
      <c r="H103" s="134"/>
    </row>
    <row r="104" spans="1:8" ht="117">
      <c r="A104" s="134"/>
      <c r="B104" s="256">
        <v>5</v>
      </c>
      <c r="C104" s="200" t="s">
        <v>243</v>
      </c>
      <c r="D104" s="236">
        <v>33649737</v>
      </c>
      <c r="E104" s="234"/>
      <c r="F104" s="203" t="s">
        <v>173</v>
      </c>
      <c r="G104" s="216">
        <v>14400</v>
      </c>
      <c r="H104" s="134"/>
    </row>
    <row r="105" spans="1:8" s="258" customFormat="1" ht="117">
      <c r="A105" s="134"/>
      <c r="B105" s="256">
        <v>6</v>
      </c>
      <c r="C105" s="200" t="s">
        <v>253</v>
      </c>
      <c r="D105" s="236">
        <v>33649745</v>
      </c>
      <c r="E105" s="255"/>
      <c r="F105" s="203" t="s">
        <v>173</v>
      </c>
      <c r="G105" s="216">
        <v>19200</v>
      </c>
      <c r="H105" s="134"/>
    </row>
    <row r="106" spans="1:8" s="258" customFormat="1" ht="156">
      <c r="A106" s="134"/>
      <c r="B106" s="256">
        <v>7</v>
      </c>
      <c r="C106" s="200" t="s">
        <v>284</v>
      </c>
      <c r="D106" s="256"/>
      <c r="E106" s="255"/>
      <c r="F106" s="203" t="s">
        <v>173</v>
      </c>
      <c r="G106" s="216">
        <v>14400</v>
      </c>
      <c r="H106" s="134"/>
    </row>
    <row r="107" spans="1:8" s="258" customFormat="1" ht="117">
      <c r="A107" s="134"/>
      <c r="B107" s="256">
        <v>8</v>
      </c>
      <c r="C107" s="200" t="s">
        <v>296</v>
      </c>
      <c r="D107" s="256"/>
      <c r="E107" s="255"/>
      <c r="F107" s="203" t="s">
        <v>173</v>
      </c>
      <c r="G107" s="216">
        <v>14400</v>
      </c>
      <c r="H107" s="134"/>
    </row>
    <row r="108" spans="1:8" s="258" customFormat="1" ht="156">
      <c r="A108" s="134"/>
      <c r="B108" s="256">
        <v>9</v>
      </c>
      <c r="C108" s="200" t="s">
        <v>286</v>
      </c>
      <c r="D108" s="256"/>
      <c r="E108" s="255"/>
      <c r="F108" s="203" t="s">
        <v>173</v>
      </c>
      <c r="G108" s="216">
        <v>14400</v>
      </c>
      <c r="H108" s="134"/>
    </row>
    <row r="109" spans="1:8" s="258" customFormat="1" ht="117">
      <c r="A109" s="134"/>
      <c r="B109" s="256">
        <v>10</v>
      </c>
      <c r="C109" s="200" t="s">
        <v>298</v>
      </c>
      <c r="D109" s="256"/>
      <c r="E109" s="255"/>
      <c r="F109" s="203" t="s">
        <v>173</v>
      </c>
      <c r="G109" s="216">
        <v>14400</v>
      </c>
      <c r="H109" s="134"/>
    </row>
    <row r="110" spans="1:8" s="258" customFormat="1" ht="156">
      <c r="A110" s="134"/>
      <c r="B110" s="256">
        <v>11</v>
      </c>
      <c r="C110" s="200" t="s">
        <v>292</v>
      </c>
      <c r="D110" s="256"/>
      <c r="E110" s="255"/>
      <c r="F110" s="203" t="s">
        <v>173</v>
      </c>
      <c r="G110" s="216">
        <v>19200</v>
      </c>
      <c r="H110" s="134"/>
    </row>
    <row r="111" spans="1:8" ht="117">
      <c r="A111" s="134"/>
      <c r="B111" s="256">
        <v>12</v>
      </c>
      <c r="C111" s="200" t="s">
        <v>302</v>
      </c>
      <c r="E111" s="234"/>
      <c r="F111" s="203" t="s">
        <v>173</v>
      </c>
      <c r="G111" s="266">
        <v>19200</v>
      </c>
      <c r="H111" s="134"/>
    </row>
    <row r="112" spans="1:8" ht="39">
      <c r="A112" s="134"/>
      <c r="B112" s="134"/>
      <c r="C112" s="236" t="s">
        <v>172</v>
      </c>
      <c r="D112" s="236"/>
      <c r="E112" s="236"/>
      <c r="F112" s="236"/>
      <c r="G112" s="216">
        <f>SUM(G100:G111)</f>
        <v>190620</v>
      </c>
      <c r="H112" s="134"/>
    </row>
    <row r="113" spans="2:9">
      <c r="B113" s="238"/>
      <c r="C113" s="238"/>
      <c r="D113" s="238"/>
      <c r="E113" s="238"/>
      <c r="F113" s="238"/>
      <c r="G113" s="238"/>
      <c r="H113" s="238"/>
    </row>
    <row r="114" spans="2:9">
      <c r="B114" s="238"/>
      <c r="C114" s="238"/>
      <c r="D114" s="238"/>
      <c r="E114" s="238"/>
      <c r="F114" s="238"/>
      <c r="G114" s="238"/>
      <c r="H114" s="238"/>
    </row>
    <row r="115" spans="2:9">
      <c r="B115" s="238"/>
      <c r="C115" s="238"/>
      <c r="D115" s="238"/>
      <c r="E115" s="238"/>
      <c r="F115" s="238"/>
      <c r="G115" s="238"/>
      <c r="H115" s="238"/>
    </row>
    <row r="116" spans="2:9">
      <c r="B116" s="238"/>
      <c r="C116" s="238"/>
      <c r="D116" s="238"/>
      <c r="E116" s="238"/>
      <c r="F116" s="238"/>
      <c r="G116" s="238"/>
      <c r="H116" s="238"/>
    </row>
    <row r="117" spans="2:9">
      <c r="B117" s="238"/>
      <c r="C117" s="238"/>
      <c r="D117" s="238"/>
      <c r="E117" s="238"/>
      <c r="F117" s="238"/>
      <c r="G117" s="238"/>
      <c r="H117" s="238"/>
    </row>
    <row r="118" spans="2:9" ht="47.25" thickBot="1">
      <c r="C118" s="248"/>
      <c r="D118" s="238"/>
      <c r="E118" s="238"/>
      <c r="F118" s="238"/>
      <c r="G118" s="238"/>
      <c r="H118" s="238"/>
    </row>
    <row r="119" spans="2:9" ht="46.5">
      <c r="B119" s="238"/>
      <c r="C119" s="253" t="s">
        <v>306</v>
      </c>
      <c r="D119" s="250" t="s">
        <v>168</v>
      </c>
      <c r="E119" s="248"/>
      <c r="F119" s="248"/>
      <c r="G119" s="238"/>
      <c r="H119" s="238"/>
    </row>
    <row r="120" spans="2:9" ht="61.5">
      <c r="B120" s="238"/>
      <c r="C120" s="251" t="s">
        <v>281</v>
      </c>
      <c r="D120" s="267">
        <f>G70</f>
        <v>470340</v>
      </c>
      <c r="E120" s="248"/>
      <c r="F120" s="248"/>
      <c r="G120" s="238"/>
      <c r="H120" s="249"/>
      <c r="I120" s="245"/>
    </row>
    <row r="121" spans="2:9" ht="61.5">
      <c r="B121" s="238"/>
      <c r="C121" s="251" t="s">
        <v>282</v>
      </c>
      <c r="D121" s="267">
        <f>G93</f>
        <v>333600</v>
      </c>
      <c r="E121" s="248"/>
      <c r="F121" s="248"/>
      <c r="G121" s="238"/>
      <c r="H121" s="249"/>
      <c r="I121" s="245"/>
    </row>
    <row r="122" spans="2:9" ht="61.5">
      <c r="B122" s="238"/>
      <c r="C122" s="251" t="s">
        <v>283</v>
      </c>
      <c r="D122" s="267">
        <f>G112</f>
        <v>190620</v>
      </c>
      <c r="E122" s="248"/>
      <c r="F122" s="248"/>
      <c r="G122" s="238"/>
      <c r="H122" s="249"/>
      <c r="I122" s="245"/>
    </row>
    <row r="123" spans="2:9" ht="62.25" thickBot="1">
      <c r="B123" s="238"/>
      <c r="C123" s="254" t="s">
        <v>172</v>
      </c>
      <c r="D123" s="252">
        <f>SUM(D120:D122)</f>
        <v>994560</v>
      </c>
      <c r="E123" s="249"/>
      <c r="F123" s="249"/>
      <c r="G123" s="238"/>
      <c r="H123" s="238"/>
    </row>
    <row r="133" spans="2:7" ht="39">
      <c r="B133" s="457" t="s">
        <v>294</v>
      </c>
      <c r="C133" s="457"/>
      <c r="D133" s="457"/>
      <c r="E133" s="457"/>
      <c r="F133" s="457"/>
      <c r="G133" s="457"/>
    </row>
    <row r="134" spans="2:7" ht="39">
      <c r="B134" s="218" t="s">
        <v>167</v>
      </c>
      <c r="C134" s="218" t="s">
        <v>169</v>
      </c>
      <c r="D134" s="218" t="s">
        <v>170</v>
      </c>
      <c r="E134" s="218" t="s">
        <v>174</v>
      </c>
      <c r="F134" s="218" t="s">
        <v>171</v>
      </c>
      <c r="G134" s="218" t="s">
        <v>168</v>
      </c>
    </row>
    <row r="135" spans="2:7" ht="78">
      <c r="B135" s="256">
        <v>1</v>
      </c>
      <c r="D135" s="256"/>
      <c r="E135" s="255"/>
      <c r="F135" s="203" t="s">
        <v>173</v>
      </c>
      <c r="G135" s="230">
        <v>14400</v>
      </c>
    </row>
    <row r="136" spans="2:7" ht="78">
      <c r="B136" s="256">
        <v>2</v>
      </c>
      <c r="D136" s="256"/>
      <c r="E136" s="255"/>
      <c r="F136" s="203" t="s">
        <v>173</v>
      </c>
      <c r="G136" s="230">
        <v>9600</v>
      </c>
    </row>
    <row r="137" spans="2:7" ht="78">
      <c r="B137" s="256">
        <v>3</v>
      </c>
      <c r="D137" s="256"/>
      <c r="E137" s="255"/>
      <c r="F137" s="203" t="s">
        <v>173</v>
      </c>
      <c r="G137" s="216">
        <v>14400</v>
      </c>
    </row>
    <row r="138" spans="2:7" ht="78">
      <c r="B138" s="256">
        <v>4</v>
      </c>
      <c r="D138" s="256"/>
      <c r="E138" s="255"/>
      <c r="F138" s="203" t="s">
        <v>173</v>
      </c>
      <c r="G138" s="216">
        <v>28800</v>
      </c>
    </row>
    <row r="139" spans="2:7" ht="78">
      <c r="B139" s="256">
        <v>5</v>
      </c>
      <c r="D139" s="256"/>
      <c r="E139" s="255"/>
      <c r="F139" s="203" t="s">
        <v>173</v>
      </c>
      <c r="G139" s="216">
        <v>29400</v>
      </c>
    </row>
    <row r="140" spans="2:7" ht="78">
      <c r="B140" s="256">
        <v>6</v>
      </c>
      <c r="D140" s="256"/>
      <c r="E140" s="255"/>
      <c r="F140" s="203" t="s">
        <v>173</v>
      </c>
      <c r="G140" s="216">
        <v>38400</v>
      </c>
    </row>
    <row r="141" spans="2:7" ht="78">
      <c r="B141" s="256">
        <v>7</v>
      </c>
      <c r="D141" s="256"/>
      <c r="E141" s="255"/>
      <c r="F141" s="203" t="s">
        <v>173</v>
      </c>
      <c r="G141" s="216">
        <v>19200</v>
      </c>
    </row>
    <row r="142" spans="2:7" ht="78">
      <c r="B142" s="256">
        <v>8</v>
      </c>
      <c r="D142" s="256"/>
      <c r="E142" s="255"/>
      <c r="F142" s="203" t="s">
        <v>173</v>
      </c>
      <c r="G142" s="216">
        <v>19200</v>
      </c>
    </row>
    <row r="143" spans="2:7" ht="78">
      <c r="B143" s="256">
        <v>9</v>
      </c>
      <c r="D143" s="256"/>
      <c r="E143" s="255"/>
      <c r="F143" s="203" t="s">
        <v>173</v>
      </c>
      <c r="G143" s="216">
        <v>29700</v>
      </c>
    </row>
    <row r="144" spans="2:7" ht="78">
      <c r="B144" s="256">
        <v>10</v>
      </c>
      <c r="D144" s="256"/>
      <c r="E144" s="255"/>
      <c r="F144" s="203" t="s">
        <v>173</v>
      </c>
      <c r="G144" s="216">
        <v>44100</v>
      </c>
    </row>
  </sheetData>
  <mergeCells count="14">
    <mergeCell ref="AB4:AG4"/>
    <mergeCell ref="S4:X4"/>
    <mergeCell ref="J15:K15"/>
    <mergeCell ref="S12:T12"/>
    <mergeCell ref="B4:G4"/>
    <mergeCell ref="AB12:AC12"/>
    <mergeCell ref="B24:G24"/>
    <mergeCell ref="E43:F43"/>
    <mergeCell ref="E44:F44"/>
    <mergeCell ref="J4:O4"/>
    <mergeCell ref="B133:G133"/>
    <mergeCell ref="B51:H51"/>
    <mergeCell ref="B79:H79"/>
    <mergeCell ref="B98:H98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72"/>
  <sheetViews>
    <sheetView topLeftCell="A61" zoomScale="70" zoomScaleNormal="70" workbookViewId="0">
      <selection activeCell="A15" sqref="A15:A26"/>
    </sheetView>
  </sheetViews>
  <sheetFormatPr defaultRowHeight="15"/>
  <cols>
    <col min="1" max="1" width="11" bestFit="1" customWidth="1"/>
    <col min="2" max="2" width="29.140625" bestFit="1" customWidth="1"/>
    <col min="3" max="3" width="16.42578125" bestFit="1" customWidth="1"/>
    <col min="4" max="4" width="47.42578125" bestFit="1" customWidth="1"/>
    <col min="5" max="5" width="12.5703125" bestFit="1" customWidth="1"/>
    <col min="6" max="6" width="28.85546875" bestFit="1" customWidth="1"/>
    <col min="7" max="7" width="21.42578125" bestFit="1" customWidth="1"/>
    <col min="8" max="8" width="40.7109375" bestFit="1" customWidth="1"/>
    <col min="9" max="9" width="11.42578125" bestFit="1" customWidth="1"/>
    <col min="13" max="13" width="11" bestFit="1" customWidth="1"/>
    <col min="14" max="14" width="29.140625" bestFit="1" customWidth="1"/>
    <col min="15" max="15" width="16.42578125" bestFit="1" customWidth="1"/>
    <col min="16" max="16" width="47.42578125" bestFit="1" customWidth="1"/>
    <col min="17" max="17" width="11" bestFit="1" customWidth="1"/>
    <col min="18" max="18" width="28.85546875" bestFit="1" customWidth="1"/>
    <col min="19" max="19" width="21.42578125" bestFit="1" customWidth="1"/>
    <col min="20" max="20" width="30.85546875" customWidth="1"/>
    <col min="24" max="24" width="11" bestFit="1" customWidth="1"/>
    <col min="25" max="25" width="29.140625" bestFit="1" customWidth="1"/>
    <col min="26" max="26" width="16.42578125" bestFit="1" customWidth="1"/>
    <col min="27" max="27" width="47.42578125" bestFit="1" customWidth="1"/>
    <col min="28" max="28" width="11" bestFit="1" customWidth="1"/>
    <col min="29" max="29" width="23.85546875" customWidth="1"/>
    <col min="30" max="30" width="24.140625" customWidth="1"/>
    <col min="31" max="31" width="31.28515625" customWidth="1"/>
  </cols>
  <sheetData>
    <row r="1" spans="1:31" ht="18.75">
      <c r="A1" s="466" t="s">
        <v>218</v>
      </c>
      <c r="B1" s="466"/>
      <c r="C1" s="466"/>
      <c r="D1" s="466"/>
      <c r="E1" s="466"/>
      <c r="F1" s="466"/>
      <c r="G1" s="466"/>
      <c r="H1" s="466"/>
      <c r="I1" s="466"/>
      <c r="M1" s="466" t="s">
        <v>317</v>
      </c>
      <c r="N1" s="466"/>
      <c r="O1" s="466"/>
      <c r="P1" s="466"/>
      <c r="Q1" s="466"/>
      <c r="R1" s="466"/>
      <c r="S1" s="466"/>
      <c r="T1" s="466"/>
      <c r="X1" s="466" t="s">
        <v>317</v>
      </c>
      <c r="Y1" s="466"/>
      <c r="Z1" s="466"/>
      <c r="AA1" s="466"/>
      <c r="AB1" s="466"/>
      <c r="AC1" s="466"/>
      <c r="AD1" s="466"/>
      <c r="AE1" s="466"/>
    </row>
    <row r="2" spans="1:31" ht="26.25">
      <c r="A2" s="469" t="s">
        <v>58</v>
      </c>
      <c r="B2" s="469"/>
      <c r="C2" s="469"/>
      <c r="D2" s="469"/>
      <c r="E2" s="469"/>
      <c r="F2" s="469"/>
      <c r="G2" s="469"/>
      <c r="H2" s="469"/>
      <c r="I2" s="469"/>
      <c r="M2" s="467" t="s">
        <v>58</v>
      </c>
      <c r="N2" s="467"/>
      <c r="O2" s="467"/>
      <c r="P2" s="467"/>
      <c r="Q2" s="467"/>
      <c r="R2" s="467"/>
      <c r="S2" s="467"/>
      <c r="T2" s="467"/>
      <c r="X2" s="467" t="s">
        <v>58</v>
      </c>
      <c r="Y2" s="467"/>
      <c r="Z2" s="467"/>
      <c r="AA2" s="467"/>
      <c r="AB2" s="467"/>
      <c r="AC2" s="467"/>
      <c r="AD2" s="467"/>
      <c r="AE2" s="467"/>
    </row>
    <row r="3" spans="1:31" ht="46.5">
      <c r="A3" s="193" t="s">
        <v>161</v>
      </c>
      <c r="B3" s="193" t="s">
        <v>0</v>
      </c>
      <c r="C3" s="193" t="s">
        <v>160</v>
      </c>
      <c r="D3" s="127" t="s">
        <v>46</v>
      </c>
      <c r="E3" s="193" t="s">
        <v>162</v>
      </c>
      <c r="F3" s="128" t="s">
        <v>216</v>
      </c>
      <c r="G3" s="129" t="s">
        <v>65</v>
      </c>
      <c r="H3" s="130" t="s">
        <v>217</v>
      </c>
      <c r="I3" s="131" t="s">
        <v>74</v>
      </c>
      <c r="M3" s="241" t="s">
        <v>161</v>
      </c>
      <c r="N3" s="241" t="s">
        <v>0</v>
      </c>
      <c r="O3" s="241" t="s">
        <v>160</v>
      </c>
      <c r="P3" s="127" t="s">
        <v>46</v>
      </c>
      <c r="Q3" s="241" t="s">
        <v>162</v>
      </c>
      <c r="R3" s="128" t="s">
        <v>220</v>
      </c>
      <c r="S3" s="129" t="s">
        <v>65</v>
      </c>
      <c r="T3" s="261" t="s">
        <v>74</v>
      </c>
      <c r="X3" s="283" t="s">
        <v>161</v>
      </c>
      <c r="Y3" s="283" t="s">
        <v>0</v>
      </c>
      <c r="Z3" s="283" t="s">
        <v>160</v>
      </c>
      <c r="AA3" s="127" t="s">
        <v>46</v>
      </c>
      <c r="AB3" s="283" t="s">
        <v>162</v>
      </c>
      <c r="AC3" s="128" t="s">
        <v>221</v>
      </c>
      <c r="AD3" s="129" t="s">
        <v>65</v>
      </c>
      <c r="AE3" s="261" t="s">
        <v>74</v>
      </c>
    </row>
    <row r="4" spans="1:31" ht="21">
      <c r="A4" s="192">
        <v>1</v>
      </c>
      <c r="B4" s="192" t="s">
        <v>8</v>
      </c>
      <c r="C4" s="192" t="s">
        <v>112</v>
      </c>
      <c r="D4" s="192" t="s">
        <v>16</v>
      </c>
      <c r="E4" s="121">
        <v>96</v>
      </c>
      <c r="F4" s="132">
        <v>14400</v>
      </c>
      <c r="G4" s="132">
        <f>F4</f>
        <v>14400</v>
      </c>
      <c r="H4" s="133">
        <v>46082</v>
      </c>
      <c r="I4" s="141"/>
      <c r="M4" s="239">
        <v>1</v>
      </c>
      <c r="N4" s="239" t="s">
        <v>8</v>
      </c>
      <c r="O4" s="239" t="s">
        <v>112</v>
      </c>
      <c r="P4" s="239" t="s">
        <v>16</v>
      </c>
      <c r="Q4" s="121">
        <v>96</v>
      </c>
      <c r="R4" s="132">
        <v>14400</v>
      </c>
      <c r="S4" s="132">
        <f>R4</f>
        <v>14400</v>
      </c>
      <c r="T4" s="141"/>
      <c r="X4" s="282">
        <v>1</v>
      </c>
      <c r="Y4" s="282" t="s">
        <v>8</v>
      </c>
      <c r="Z4" s="282" t="s">
        <v>112</v>
      </c>
      <c r="AA4" s="282" t="s">
        <v>16</v>
      </c>
      <c r="AB4" s="121">
        <v>96</v>
      </c>
      <c r="AC4" s="132">
        <v>14400</v>
      </c>
      <c r="AD4" s="132">
        <f>AC4</f>
        <v>14400</v>
      </c>
      <c r="AE4" s="141"/>
    </row>
    <row r="5" spans="1:31" ht="21">
      <c r="A5" s="401">
        <v>2</v>
      </c>
      <c r="B5" s="243" t="s">
        <v>4</v>
      </c>
      <c r="C5" s="192" t="s">
        <v>145</v>
      </c>
      <c r="D5" s="192" t="s">
        <v>13</v>
      </c>
      <c r="E5" s="121">
        <v>144</v>
      </c>
      <c r="F5" s="132">
        <v>14400</v>
      </c>
      <c r="G5" s="132">
        <f t="shared" ref="G5:G27" si="0">F5</f>
        <v>14400</v>
      </c>
      <c r="H5" s="133">
        <v>46082</v>
      </c>
      <c r="I5" s="134"/>
      <c r="M5" s="401">
        <v>2</v>
      </c>
      <c r="N5" s="398" t="s">
        <v>4</v>
      </c>
      <c r="O5" s="239" t="s">
        <v>145</v>
      </c>
      <c r="P5" s="239" t="s">
        <v>13</v>
      </c>
      <c r="Q5" s="121">
        <v>144</v>
      </c>
      <c r="R5" s="132">
        <v>14400</v>
      </c>
      <c r="S5" s="132">
        <f t="shared" ref="S5:S26" si="1">R5</f>
        <v>14400</v>
      </c>
      <c r="T5" s="134"/>
      <c r="X5" s="401">
        <v>2</v>
      </c>
      <c r="Y5" s="398" t="s">
        <v>4</v>
      </c>
      <c r="Z5" s="282" t="s">
        <v>145</v>
      </c>
      <c r="AA5" s="282" t="s">
        <v>13</v>
      </c>
      <c r="AB5" s="121">
        <v>144</v>
      </c>
      <c r="AC5" s="132">
        <v>14400</v>
      </c>
      <c r="AD5" s="132">
        <f t="shared" ref="AD5:AD26" si="2">AC5</f>
        <v>14400</v>
      </c>
      <c r="AE5" s="134"/>
    </row>
    <row r="6" spans="1:31" ht="21">
      <c r="A6" s="401"/>
      <c r="B6" s="243" t="s">
        <v>4</v>
      </c>
      <c r="C6" s="192" t="s">
        <v>146</v>
      </c>
      <c r="D6" s="192" t="s">
        <v>17</v>
      </c>
      <c r="E6" s="121">
        <v>96</v>
      </c>
      <c r="F6" s="132">
        <v>9600</v>
      </c>
      <c r="G6" s="132">
        <f t="shared" si="0"/>
        <v>9600</v>
      </c>
      <c r="H6" s="133">
        <v>46082</v>
      </c>
      <c r="I6" s="134"/>
      <c r="M6" s="401"/>
      <c r="N6" s="400"/>
      <c r="O6" s="239" t="s">
        <v>146</v>
      </c>
      <c r="P6" s="239" t="s">
        <v>17</v>
      </c>
      <c r="Q6" s="121">
        <v>96</v>
      </c>
      <c r="R6" s="132">
        <v>9600</v>
      </c>
      <c r="S6" s="132">
        <f t="shared" si="1"/>
        <v>9600</v>
      </c>
      <c r="T6" s="134"/>
      <c r="X6" s="401"/>
      <c r="Y6" s="400"/>
      <c r="Z6" s="282" t="s">
        <v>146</v>
      </c>
      <c r="AA6" s="282" t="s">
        <v>17</v>
      </c>
      <c r="AB6" s="121">
        <v>96</v>
      </c>
      <c r="AC6" s="132">
        <v>9600</v>
      </c>
      <c r="AD6" s="132">
        <f t="shared" si="2"/>
        <v>9600</v>
      </c>
      <c r="AE6" s="134"/>
    </row>
    <row r="7" spans="1:31" ht="21">
      <c r="A7" s="401"/>
      <c r="B7" s="243" t="s">
        <v>4</v>
      </c>
      <c r="C7" s="192" t="s">
        <v>147</v>
      </c>
      <c r="D7" s="192" t="s">
        <v>18</v>
      </c>
      <c r="E7" s="121">
        <v>96</v>
      </c>
      <c r="F7" s="132">
        <v>9600</v>
      </c>
      <c r="G7" s="132">
        <f t="shared" si="0"/>
        <v>9600</v>
      </c>
      <c r="H7" s="133">
        <v>46082</v>
      </c>
      <c r="I7" s="134"/>
      <c r="M7" s="401"/>
      <c r="N7" s="400"/>
      <c r="O7" s="239" t="s">
        <v>147</v>
      </c>
      <c r="P7" s="239" t="s">
        <v>18</v>
      </c>
      <c r="Q7" s="121">
        <v>96</v>
      </c>
      <c r="R7" s="132">
        <v>9600</v>
      </c>
      <c r="S7" s="132">
        <f t="shared" si="1"/>
        <v>9600</v>
      </c>
      <c r="T7" s="134"/>
      <c r="X7" s="401"/>
      <c r="Y7" s="400"/>
      <c r="Z7" s="282" t="s">
        <v>147</v>
      </c>
      <c r="AA7" s="282" t="s">
        <v>18</v>
      </c>
      <c r="AB7" s="121">
        <v>96</v>
      </c>
      <c r="AC7" s="132">
        <v>9600</v>
      </c>
      <c r="AD7" s="132">
        <f t="shared" si="2"/>
        <v>9600</v>
      </c>
      <c r="AE7" s="134"/>
    </row>
    <row r="8" spans="1:31" ht="21">
      <c r="A8" s="401"/>
      <c r="B8" s="243" t="s">
        <v>4</v>
      </c>
      <c r="C8" s="192" t="s">
        <v>148</v>
      </c>
      <c r="D8" s="192" t="s">
        <v>19</v>
      </c>
      <c r="E8" s="121">
        <v>96</v>
      </c>
      <c r="F8" s="132">
        <v>9600</v>
      </c>
      <c r="G8" s="132">
        <f t="shared" si="0"/>
        <v>9600</v>
      </c>
      <c r="H8" s="133">
        <v>46082</v>
      </c>
      <c r="I8" s="134"/>
      <c r="M8" s="401"/>
      <c r="N8" s="400"/>
      <c r="O8" s="239" t="s">
        <v>148</v>
      </c>
      <c r="P8" s="239" t="s">
        <v>19</v>
      </c>
      <c r="Q8" s="121">
        <v>96</v>
      </c>
      <c r="R8" s="132">
        <v>9600</v>
      </c>
      <c r="S8" s="132">
        <f t="shared" si="1"/>
        <v>9600</v>
      </c>
      <c r="T8" s="134"/>
      <c r="X8" s="401"/>
      <c r="Y8" s="400"/>
      <c r="Z8" s="282" t="s">
        <v>148</v>
      </c>
      <c r="AA8" s="282" t="s">
        <v>19</v>
      </c>
      <c r="AB8" s="121">
        <v>96</v>
      </c>
      <c r="AC8" s="132">
        <v>9600</v>
      </c>
      <c r="AD8" s="132">
        <f t="shared" si="2"/>
        <v>9600</v>
      </c>
      <c r="AE8" s="134"/>
    </row>
    <row r="9" spans="1:31" ht="21">
      <c r="A9" s="401"/>
      <c r="B9" s="243" t="s">
        <v>4</v>
      </c>
      <c r="C9" s="192" t="s">
        <v>149</v>
      </c>
      <c r="D9" s="192" t="s">
        <v>20</v>
      </c>
      <c r="E9" s="121">
        <v>118</v>
      </c>
      <c r="F9" s="132">
        <v>11800</v>
      </c>
      <c r="G9" s="132">
        <f t="shared" si="0"/>
        <v>11800</v>
      </c>
      <c r="H9" s="133">
        <v>46082</v>
      </c>
      <c r="I9" s="134"/>
      <c r="M9" s="401"/>
      <c r="N9" s="400"/>
      <c r="O9" s="239" t="s">
        <v>149</v>
      </c>
      <c r="P9" s="239" t="s">
        <v>20</v>
      </c>
      <c r="Q9" s="121">
        <v>118</v>
      </c>
      <c r="R9" s="132">
        <v>11800</v>
      </c>
      <c r="S9" s="132">
        <f t="shared" si="1"/>
        <v>11800</v>
      </c>
      <c r="T9" s="134"/>
      <c r="X9" s="401"/>
      <c r="Y9" s="400"/>
      <c r="Z9" s="282" t="s">
        <v>149</v>
      </c>
      <c r="AA9" s="282" t="s">
        <v>20</v>
      </c>
      <c r="AB9" s="121">
        <v>118</v>
      </c>
      <c r="AC9" s="132">
        <v>11800</v>
      </c>
      <c r="AD9" s="132">
        <f t="shared" si="2"/>
        <v>11800</v>
      </c>
      <c r="AE9" s="134"/>
    </row>
    <row r="10" spans="1:31" ht="21">
      <c r="A10" s="401"/>
      <c r="B10" s="243" t="s">
        <v>4</v>
      </c>
      <c r="C10" s="192" t="s">
        <v>150</v>
      </c>
      <c r="D10" s="192" t="s">
        <v>20</v>
      </c>
      <c r="E10" s="121">
        <v>118</v>
      </c>
      <c r="F10" s="132">
        <v>11800</v>
      </c>
      <c r="G10" s="132">
        <f t="shared" si="0"/>
        <v>11800</v>
      </c>
      <c r="H10" s="133">
        <v>46082</v>
      </c>
      <c r="I10" s="134"/>
      <c r="M10" s="401"/>
      <c r="N10" s="400"/>
      <c r="O10" s="239" t="s">
        <v>150</v>
      </c>
      <c r="P10" s="239" t="s">
        <v>20</v>
      </c>
      <c r="Q10" s="121">
        <v>118</v>
      </c>
      <c r="R10" s="132">
        <v>11800</v>
      </c>
      <c r="S10" s="132">
        <f t="shared" si="1"/>
        <v>11800</v>
      </c>
      <c r="T10" s="134"/>
      <c r="X10" s="401"/>
      <c r="Y10" s="400"/>
      <c r="Z10" s="282" t="s">
        <v>150</v>
      </c>
      <c r="AA10" s="282" t="s">
        <v>20</v>
      </c>
      <c r="AB10" s="121">
        <v>118</v>
      </c>
      <c r="AC10" s="132">
        <v>11800</v>
      </c>
      <c r="AD10" s="132">
        <f t="shared" si="2"/>
        <v>11800</v>
      </c>
      <c r="AE10" s="134"/>
    </row>
    <row r="11" spans="1:31" ht="21">
      <c r="A11" s="401"/>
      <c r="B11" s="243" t="s">
        <v>4</v>
      </c>
      <c r="C11" s="192" t="s">
        <v>151</v>
      </c>
      <c r="D11" s="192" t="s">
        <v>21</v>
      </c>
      <c r="E11" s="121">
        <v>96</v>
      </c>
      <c r="F11" s="132">
        <v>9600</v>
      </c>
      <c r="G11" s="132">
        <f t="shared" si="0"/>
        <v>9600</v>
      </c>
      <c r="H11" s="133">
        <v>46082</v>
      </c>
      <c r="I11" s="141"/>
      <c r="M11" s="401"/>
      <c r="N11" s="400"/>
      <c r="O11" s="239" t="s">
        <v>151</v>
      </c>
      <c r="P11" s="239" t="s">
        <v>21</v>
      </c>
      <c r="Q11" s="121">
        <v>96</v>
      </c>
      <c r="R11" s="132">
        <v>9600</v>
      </c>
      <c r="S11" s="132">
        <f t="shared" si="1"/>
        <v>9600</v>
      </c>
      <c r="T11" s="141"/>
      <c r="X11" s="401"/>
      <c r="Y11" s="400"/>
      <c r="Z11" s="282" t="s">
        <v>151</v>
      </c>
      <c r="AA11" s="282" t="s">
        <v>21</v>
      </c>
      <c r="AB11" s="121">
        <v>96</v>
      </c>
      <c r="AC11" s="132">
        <v>9600</v>
      </c>
      <c r="AD11" s="132">
        <f t="shared" si="2"/>
        <v>9600</v>
      </c>
      <c r="AE11" s="141"/>
    </row>
    <row r="12" spans="1:31" ht="21">
      <c r="A12" s="401"/>
      <c r="B12" s="243" t="s">
        <v>4</v>
      </c>
      <c r="C12" s="192" t="s">
        <v>152</v>
      </c>
      <c r="D12" s="192" t="s">
        <v>12</v>
      </c>
      <c r="E12" s="121">
        <v>96</v>
      </c>
      <c r="F12" s="132">
        <v>9600</v>
      </c>
      <c r="G12" s="132">
        <f t="shared" si="0"/>
        <v>9600</v>
      </c>
      <c r="H12" s="133">
        <v>46082</v>
      </c>
      <c r="I12" s="134"/>
      <c r="M12" s="401"/>
      <c r="N12" s="400"/>
      <c r="O12" s="239" t="s">
        <v>152</v>
      </c>
      <c r="P12" s="239" t="s">
        <v>12</v>
      </c>
      <c r="Q12" s="121">
        <v>96</v>
      </c>
      <c r="R12" s="132">
        <v>9600</v>
      </c>
      <c r="S12" s="132">
        <f t="shared" si="1"/>
        <v>9600</v>
      </c>
      <c r="T12" s="134"/>
      <c r="X12" s="401"/>
      <c r="Y12" s="400"/>
      <c r="Z12" s="282" t="s">
        <v>152</v>
      </c>
      <c r="AA12" s="282" t="s">
        <v>12</v>
      </c>
      <c r="AB12" s="121">
        <v>96</v>
      </c>
      <c r="AC12" s="132">
        <v>9600</v>
      </c>
      <c r="AD12" s="132">
        <f t="shared" si="2"/>
        <v>9600</v>
      </c>
      <c r="AE12" s="134"/>
    </row>
    <row r="13" spans="1:31" ht="21">
      <c r="A13" s="401"/>
      <c r="B13" s="243" t="s">
        <v>4</v>
      </c>
      <c r="C13" s="192" t="s">
        <v>153</v>
      </c>
      <c r="D13" s="192" t="s">
        <v>22</v>
      </c>
      <c r="E13" s="121">
        <v>96</v>
      </c>
      <c r="F13" s="132">
        <v>9600</v>
      </c>
      <c r="G13" s="132">
        <f t="shared" si="0"/>
        <v>9600</v>
      </c>
      <c r="H13" s="133">
        <v>46082</v>
      </c>
      <c r="I13" s="134"/>
      <c r="M13" s="401"/>
      <c r="N13" s="400"/>
      <c r="O13" s="239" t="s">
        <v>153</v>
      </c>
      <c r="P13" s="239" t="s">
        <v>22</v>
      </c>
      <c r="Q13" s="121">
        <v>96</v>
      </c>
      <c r="R13" s="132">
        <v>9600</v>
      </c>
      <c r="S13" s="132">
        <f t="shared" si="1"/>
        <v>9600</v>
      </c>
      <c r="T13" s="134"/>
      <c r="X13" s="401"/>
      <c r="Y13" s="400"/>
      <c r="Z13" s="282" t="s">
        <v>153</v>
      </c>
      <c r="AA13" s="282" t="s">
        <v>22</v>
      </c>
      <c r="AB13" s="121">
        <v>96</v>
      </c>
      <c r="AC13" s="132">
        <v>9600</v>
      </c>
      <c r="AD13" s="132">
        <f t="shared" si="2"/>
        <v>9600</v>
      </c>
      <c r="AE13" s="134"/>
    </row>
    <row r="14" spans="1:31" ht="21">
      <c r="A14" s="401"/>
      <c r="B14" s="243" t="s">
        <v>4</v>
      </c>
      <c r="C14" s="192" t="s">
        <v>154</v>
      </c>
      <c r="D14" s="192" t="s">
        <v>13</v>
      </c>
      <c r="E14" s="121">
        <v>144</v>
      </c>
      <c r="F14" s="132">
        <v>14400</v>
      </c>
      <c r="G14" s="132">
        <f t="shared" si="0"/>
        <v>14400</v>
      </c>
      <c r="H14" s="133">
        <v>46082</v>
      </c>
      <c r="I14" s="134"/>
      <c r="M14" s="401"/>
      <c r="N14" s="399"/>
      <c r="O14" s="239" t="s">
        <v>154</v>
      </c>
      <c r="P14" s="239" t="s">
        <v>13</v>
      </c>
      <c r="Q14" s="121">
        <v>144</v>
      </c>
      <c r="R14" s="132">
        <v>14400</v>
      </c>
      <c r="S14" s="132">
        <f t="shared" si="1"/>
        <v>14400</v>
      </c>
      <c r="T14" s="134"/>
      <c r="X14" s="401"/>
      <c r="Y14" s="399"/>
      <c r="Z14" s="282" t="s">
        <v>154</v>
      </c>
      <c r="AA14" s="282" t="s">
        <v>13</v>
      </c>
      <c r="AB14" s="121">
        <v>144</v>
      </c>
      <c r="AC14" s="132">
        <v>14400</v>
      </c>
      <c r="AD14" s="132">
        <f t="shared" si="2"/>
        <v>14400</v>
      </c>
      <c r="AE14" s="134"/>
    </row>
    <row r="15" spans="1:31" ht="21">
      <c r="A15" s="401">
        <v>3</v>
      </c>
      <c r="B15" s="243" t="s">
        <v>53</v>
      </c>
      <c r="C15" s="192" t="s">
        <v>132</v>
      </c>
      <c r="D15" s="192" t="s">
        <v>158</v>
      </c>
      <c r="E15" s="121">
        <v>144</v>
      </c>
      <c r="F15" s="132">
        <v>28800</v>
      </c>
      <c r="G15" s="132">
        <f t="shared" si="0"/>
        <v>28800</v>
      </c>
      <c r="H15" s="133">
        <v>46082</v>
      </c>
      <c r="I15" s="134"/>
      <c r="M15" s="401">
        <v>3</v>
      </c>
      <c r="N15" s="398" t="s">
        <v>53</v>
      </c>
      <c r="O15" s="239" t="s">
        <v>132</v>
      </c>
      <c r="P15" s="239" t="s">
        <v>158</v>
      </c>
      <c r="Q15" s="121">
        <v>147</v>
      </c>
      <c r="R15" s="132">
        <v>28800</v>
      </c>
      <c r="S15" s="132">
        <f t="shared" si="1"/>
        <v>28800</v>
      </c>
      <c r="T15" s="134"/>
      <c r="X15" s="401">
        <v>3</v>
      </c>
      <c r="Y15" s="398" t="s">
        <v>53</v>
      </c>
      <c r="Z15" s="282" t="s">
        <v>132</v>
      </c>
      <c r="AA15" s="282" t="s">
        <v>158</v>
      </c>
      <c r="AB15" s="121">
        <v>147</v>
      </c>
      <c r="AC15" s="132">
        <v>28800</v>
      </c>
      <c r="AD15" s="132">
        <f t="shared" si="2"/>
        <v>28800</v>
      </c>
      <c r="AE15" s="134"/>
    </row>
    <row r="16" spans="1:31" ht="21">
      <c r="A16" s="401"/>
      <c r="B16" s="243" t="s">
        <v>53</v>
      </c>
      <c r="C16" s="192" t="s">
        <v>133</v>
      </c>
      <c r="D16" s="192" t="s">
        <v>26</v>
      </c>
      <c r="E16" s="121">
        <v>98</v>
      </c>
      <c r="F16" s="132">
        <v>19600</v>
      </c>
      <c r="G16" s="132">
        <f t="shared" si="0"/>
        <v>19600</v>
      </c>
      <c r="H16" s="133">
        <v>46082</v>
      </c>
      <c r="I16" s="134"/>
      <c r="M16" s="401"/>
      <c r="N16" s="400"/>
      <c r="O16" s="239" t="s">
        <v>133</v>
      </c>
      <c r="P16" s="239" t="s">
        <v>26</v>
      </c>
      <c r="Q16" s="121">
        <v>98</v>
      </c>
      <c r="R16" s="132">
        <v>19600</v>
      </c>
      <c r="S16" s="132">
        <f t="shared" si="1"/>
        <v>19600</v>
      </c>
      <c r="T16" s="134"/>
      <c r="X16" s="401"/>
      <c r="Y16" s="400"/>
      <c r="Z16" s="282" t="s">
        <v>133</v>
      </c>
      <c r="AA16" s="282" t="s">
        <v>26</v>
      </c>
      <c r="AB16" s="121">
        <v>98</v>
      </c>
      <c r="AC16" s="132">
        <v>19600</v>
      </c>
      <c r="AD16" s="132">
        <f t="shared" si="2"/>
        <v>19600</v>
      </c>
      <c r="AE16" s="134"/>
    </row>
    <row r="17" spans="1:31" ht="21">
      <c r="A17" s="401"/>
      <c r="B17" s="243" t="s">
        <v>53</v>
      </c>
      <c r="C17" s="192" t="s">
        <v>134</v>
      </c>
      <c r="D17" s="192" t="s">
        <v>27</v>
      </c>
      <c r="E17" s="121">
        <v>98</v>
      </c>
      <c r="F17" s="132">
        <v>19600</v>
      </c>
      <c r="G17" s="132">
        <f t="shared" si="0"/>
        <v>19600</v>
      </c>
      <c r="H17" s="133">
        <v>46082</v>
      </c>
      <c r="I17" s="134"/>
      <c r="M17" s="401"/>
      <c r="N17" s="400"/>
      <c r="O17" s="239" t="s">
        <v>134</v>
      </c>
      <c r="P17" s="239" t="s">
        <v>27</v>
      </c>
      <c r="Q17" s="121">
        <v>98</v>
      </c>
      <c r="R17" s="132">
        <v>19600</v>
      </c>
      <c r="S17" s="132">
        <f t="shared" si="1"/>
        <v>19600</v>
      </c>
      <c r="T17" s="134"/>
      <c r="X17" s="401"/>
      <c r="Y17" s="400"/>
      <c r="Z17" s="282" t="s">
        <v>134</v>
      </c>
      <c r="AA17" s="282" t="s">
        <v>27</v>
      </c>
      <c r="AB17" s="121">
        <v>98</v>
      </c>
      <c r="AC17" s="132">
        <v>19600</v>
      </c>
      <c r="AD17" s="132">
        <f t="shared" si="2"/>
        <v>19600</v>
      </c>
      <c r="AE17" s="134"/>
    </row>
    <row r="18" spans="1:31" ht="21">
      <c r="A18" s="401"/>
      <c r="B18" s="243" t="s">
        <v>53</v>
      </c>
      <c r="C18" s="192" t="s">
        <v>135</v>
      </c>
      <c r="D18" s="192" t="s">
        <v>28</v>
      </c>
      <c r="E18" s="121">
        <v>99</v>
      </c>
      <c r="F18" s="132">
        <v>19800</v>
      </c>
      <c r="G18" s="132">
        <f t="shared" si="0"/>
        <v>19800</v>
      </c>
      <c r="H18" s="133">
        <v>46082</v>
      </c>
      <c r="I18" s="134"/>
      <c r="M18" s="401"/>
      <c r="N18" s="400"/>
      <c r="O18" s="239" t="s">
        <v>135</v>
      </c>
      <c r="P18" s="239" t="s">
        <v>28</v>
      </c>
      <c r="Q18" s="121">
        <v>96</v>
      </c>
      <c r="R18" s="132">
        <v>19800</v>
      </c>
      <c r="S18" s="132">
        <f t="shared" si="1"/>
        <v>19800</v>
      </c>
      <c r="T18" s="134"/>
      <c r="X18" s="401"/>
      <c r="Y18" s="400"/>
      <c r="Z18" s="282" t="s">
        <v>135</v>
      </c>
      <c r="AA18" s="282" t="s">
        <v>28</v>
      </c>
      <c r="AB18" s="121">
        <v>96</v>
      </c>
      <c r="AC18" s="132">
        <v>19800</v>
      </c>
      <c r="AD18" s="132">
        <f t="shared" si="2"/>
        <v>19800</v>
      </c>
      <c r="AE18" s="134"/>
    </row>
    <row r="19" spans="1:31" ht="21">
      <c r="A19" s="401"/>
      <c r="B19" s="243" t="s">
        <v>53</v>
      </c>
      <c r="C19" s="192" t="s">
        <v>136</v>
      </c>
      <c r="D19" s="192" t="s">
        <v>29</v>
      </c>
      <c r="E19" s="121">
        <v>96</v>
      </c>
      <c r="F19" s="132">
        <v>19200</v>
      </c>
      <c r="G19" s="132">
        <f t="shared" si="0"/>
        <v>19200</v>
      </c>
      <c r="H19" s="133">
        <v>46082</v>
      </c>
      <c r="I19" s="134"/>
      <c r="M19" s="401"/>
      <c r="N19" s="400"/>
      <c r="O19" s="239" t="s">
        <v>136</v>
      </c>
      <c r="P19" s="239" t="s">
        <v>29</v>
      </c>
      <c r="Q19" s="121">
        <v>96</v>
      </c>
      <c r="R19" s="132">
        <v>19200</v>
      </c>
      <c r="S19" s="132">
        <f t="shared" si="1"/>
        <v>19200</v>
      </c>
      <c r="T19" s="134"/>
      <c r="X19" s="401"/>
      <c r="Y19" s="400"/>
      <c r="Z19" s="282" t="s">
        <v>136</v>
      </c>
      <c r="AA19" s="282" t="s">
        <v>29</v>
      </c>
      <c r="AB19" s="121">
        <v>96</v>
      </c>
      <c r="AC19" s="132">
        <v>19200</v>
      </c>
      <c r="AD19" s="132">
        <f t="shared" si="2"/>
        <v>19200</v>
      </c>
      <c r="AE19" s="134"/>
    </row>
    <row r="20" spans="1:31" ht="21">
      <c r="A20" s="401"/>
      <c r="B20" s="243" t="s">
        <v>53</v>
      </c>
      <c r="C20" s="192" t="s">
        <v>137</v>
      </c>
      <c r="D20" s="192" t="s">
        <v>30</v>
      </c>
      <c r="E20" s="121">
        <v>96</v>
      </c>
      <c r="F20" s="132">
        <v>19200</v>
      </c>
      <c r="G20" s="132">
        <f t="shared" si="0"/>
        <v>19200</v>
      </c>
      <c r="H20" s="133">
        <v>46082</v>
      </c>
      <c r="I20" s="142"/>
      <c r="M20" s="401"/>
      <c r="N20" s="400"/>
      <c r="O20" s="239" t="s">
        <v>137</v>
      </c>
      <c r="P20" s="239" t="s">
        <v>30</v>
      </c>
      <c r="Q20" s="121">
        <v>96</v>
      </c>
      <c r="R20" s="132">
        <v>19200</v>
      </c>
      <c r="S20" s="132">
        <f t="shared" si="1"/>
        <v>19200</v>
      </c>
      <c r="T20" s="142"/>
      <c r="X20" s="401"/>
      <c r="Y20" s="400"/>
      <c r="Z20" s="282" t="s">
        <v>137</v>
      </c>
      <c r="AA20" s="282" t="s">
        <v>30</v>
      </c>
      <c r="AB20" s="121">
        <v>96</v>
      </c>
      <c r="AC20" s="132">
        <v>19200</v>
      </c>
      <c r="AD20" s="132">
        <f t="shared" si="2"/>
        <v>19200</v>
      </c>
      <c r="AE20" s="142"/>
    </row>
    <row r="21" spans="1:31" ht="21">
      <c r="A21" s="401"/>
      <c r="B21" s="243" t="s">
        <v>53</v>
      </c>
      <c r="C21" s="192" t="s">
        <v>138</v>
      </c>
      <c r="D21" s="192" t="s">
        <v>31</v>
      </c>
      <c r="E21" s="121">
        <v>147</v>
      </c>
      <c r="F21" s="132">
        <v>29400</v>
      </c>
      <c r="G21" s="132">
        <f t="shared" si="0"/>
        <v>29400</v>
      </c>
      <c r="H21" s="133">
        <v>46082</v>
      </c>
      <c r="I21" s="134"/>
      <c r="M21" s="401"/>
      <c r="N21" s="400"/>
      <c r="O21" s="239" t="s">
        <v>138</v>
      </c>
      <c r="P21" s="239" t="s">
        <v>31</v>
      </c>
      <c r="Q21" s="121">
        <v>147</v>
      </c>
      <c r="R21" s="132">
        <v>29400</v>
      </c>
      <c r="S21" s="132">
        <f t="shared" si="1"/>
        <v>29400</v>
      </c>
      <c r="T21" s="134"/>
      <c r="X21" s="401"/>
      <c r="Y21" s="400"/>
      <c r="Z21" s="282" t="s">
        <v>138</v>
      </c>
      <c r="AA21" s="282" t="s">
        <v>31</v>
      </c>
      <c r="AB21" s="121">
        <v>147</v>
      </c>
      <c r="AC21" s="132">
        <v>29400</v>
      </c>
      <c r="AD21" s="132">
        <f t="shared" si="2"/>
        <v>29400</v>
      </c>
      <c r="AE21" s="134"/>
    </row>
    <row r="22" spans="1:31" ht="21">
      <c r="A22" s="401"/>
      <c r="B22" s="243" t="s">
        <v>53</v>
      </c>
      <c r="C22" s="192" t="s">
        <v>139</v>
      </c>
      <c r="D22" s="192" t="s">
        <v>158</v>
      </c>
      <c r="E22" s="121">
        <v>147</v>
      </c>
      <c r="F22" s="132">
        <v>29400</v>
      </c>
      <c r="G22" s="132">
        <f t="shared" si="0"/>
        <v>29400</v>
      </c>
      <c r="H22" s="133">
        <v>46082</v>
      </c>
      <c r="I22" s="134"/>
      <c r="M22" s="401"/>
      <c r="N22" s="400"/>
      <c r="O22" s="239" t="s">
        <v>139</v>
      </c>
      <c r="P22" s="239" t="s">
        <v>158</v>
      </c>
      <c r="Q22" s="121">
        <v>147</v>
      </c>
      <c r="R22" s="132">
        <v>29400</v>
      </c>
      <c r="S22" s="132">
        <f t="shared" si="1"/>
        <v>29400</v>
      </c>
      <c r="T22" s="134"/>
      <c r="X22" s="401"/>
      <c r="Y22" s="400"/>
      <c r="Z22" s="282" t="s">
        <v>139</v>
      </c>
      <c r="AA22" s="282" t="s">
        <v>158</v>
      </c>
      <c r="AB22" s="121">
        <v>147</v>
      </c>
      <c r="AC22" s="132">
        <v>29400</v>
      </c>
      <c r="AD22" s="132">
        <f t="shared" si="2"/>
        <v>29400</v>
      </c>
      <c r="AE22" s="134"/>
    </row>
    <row r="23" spans="1:31" ht="21">
      <c r="A23" s="401"/>
      <c r="B23" s="243" t="s">
        <v>53</v>
      </c>
      <c r="C23" s="192" t="s">
        <v>140</v>
      </c>
      <c r="D23" s="192" t="s">
        <v>32</v>
      </c>
      <c r="E23" s="121">
        <v>99</v>
      </c>
      <c r="F23" s="132">
        <v>19800</v>
      </c>
      <c r="G23" s="132">
        <f t="shared" si="0"/>
        <v>19800</v>
      </c>
      <c r="H23" s="133">
        <v>46082</v>
      </c>
      <c r="I23" s="134"/>
      <c r="M23" s="401"/>
      <c r="N23" s="400"/>
      <c r="O23" s="239" t="s">
        <v>140</v>
      </c>
      <c r="P23" s="239" t="s">
        <v>32</v>
      </c>
      <c r="Q23" s="121">
        <v>99</v>
      </c>
      <c r="R23" s="132">
        <v>19800</v>
      </c>
      <c r="S23" s="132">
        <f t="shared" si="1"/>
        <v>19800</v>
      </c>
      <c r="T23" s="134"/>
      <c r="X23" s="401"/>
      <c r="Y23" s="400"/>
      <c r="Z23" s="282" t="s">
        <v>140</v>
      </c>
      <c r="AA23" s="282" t="s">
        <v>32</v>
      </c>
      <c r="AB23" s="121">
        <v>99</v>
      </c>
      <c r="AC23" s="132">
        <v>19800</v>
      </c>
      <c r="AD23" s="132">
        <f t="shared" si="2"/>
        <v>19800</v>
      </c>
      <c r="AE23" s="134"/>
    </row>
    <row r="24" spans="1:31" ht="21">
      <c r="A24" s="401"/>
      <c r="B24" s="243" t="s">
        <v>53</v>
      </c>
      <c r="C24" s="192" t="s">
        <v>141</v>
      </c>
      <c r="D24" s="192" t="s">
        <v>158</v>
      </c>
      <c r="E24" s="121">
        <v>192</v>
      </c>
      <c r="F24" s="132">
        <v>38400</v>
      </c>
      <c r="G24" s="132">
        <f t="shared" si="0"/>
        <v>38400</v>
      </c>
      <c r="H24" s="133">
        <v>46082</v>
      </c>
      <c r="I24" s="134"/>
      <c r="M24" s="401"/>
      <c r="N24" s="400"/>
      <c r="O24" s="239" t="s">
        <v>141</v>
      </c>
      <c r="P24" s="239" t="s">
        <v>158</v>
      </c>
      <c r="Q24" s="121">
        <v>192</v>
      </c>
      <c r="R24" s="132">
        <v>38400</v>
      </c>
      <c r="S24" s="132">
        <f t="shared" si="1"/>
        <v>38400</v>
      </c>
      <c r="T24" s="134"/>
      <c r="X24" s="401"/>
      <c r="Y24" s="400"/>
      <c r="Z24" s="282" t="s">
        <v>141</v>
      </c>
      <c r="AA24" s="282" t="s">
        <v>158</v>
      </c>
      <c r="AB24" s="121">
        <v>192</v>
      </c>
      <c r="AC24" s="132">
        <v>38400</v>
      </c>
      <c r="AD24" s="132">
        <f t="shared" si="2"/>
        <v>38400</v>
      </c>
      <c r="AE24" s="134"/>
    </row>
    <row r="25" spans="1:31" ht="21">
      <c r="A25" s="401"/>
      <c r="B25" s="243" t="s">
        <v>53</v>
      </c>
      <c r="C25" s="192" t="s">
        <v>142</v>
      </c>
      <c r="D25" s="192" t="s">
        <v>13</v>
      </c>
      <c r="E25" s="121">
        <v>96</v>
      </c>
      <c r="F25" s="132">
        <v>19200</v>
      </c>
      <c r="G25" s="132">
        <f t="shared" si="0"/>
        <v>19200</v>
      </c>
      <c r="H25" s="133">
        <v>46082</v>
      </c>
      <c r="I25" s="134"/>
      <c r="M25" s="401"/>
      <c r="N25" s="400"/>
      <c r="O25" s="239" t="s">
        <v>142</v>
      </c>
      <c r="P25" s="239" t="s">
        <v>13</v>
      </c>
      <c r="Q25" s="121">
        <v>96</v>
      </c>
      <c r="R25" s="132">
        <v>19200</v>
      </c>
      <c r="S25" s="132">
        <f t="shared" si="1"/>
        <v>19200</v>
      </c>
      <c r="T25" s="134"/>
      <c r="X25" s="401"/>
      <c r="Y25" s="400"/>
      <c r="Z25" s="282" t="s">
        <v>142</v>
      </c>
      <c r="AA25" s="282" t="s">
        <v>13</v>
      </c>
      <c r="AB25" s="121">
        <v>96</v>
      </c>
      <c r="AC25" s="132">
        <v>19200</v>
      </c>
      <c r="AD25" s="132">
        <f t="shared" si="2"/>
        <v>19200</v>
      </c>
      <c r="AE25" s="134"/>
    </row>
    <row r="26" spans="1:31" ht="21">
      <c r="A26" s="401"/>
      <c r="B26" s="243" t="s">
        <v>53</v>
      </c>
      <c r="C26" s="192" t="s">
        <v>143</v>
      </c>
      <c r="D26" s="192" t="s">
        <v>158</v>
      </c>
      <c r="E26" s="121">
        <v>96</v>
      </c>
      <c r="F26" s="132">
        <v>19200</v>
      </c>
      <c r="G26" s="132">
        <f t="shared" si="0"/>
        <v>19200</v>
      </c>
      <c r="H26" s="133">
        <v>46082</v>
      </c>
      <c r="I26" s="134"/>
      <c r="M26" s="401"/>
      <c r="N26" s="399"/>
      <c r="O26" s="239" t="s">
        <v>143</v>
      </c>
      <c r="P26" s="239" t="s">
        <v>158</v>
      </c>
      <c r="Q26" s="121">
        <v>96</v>
      </c>
      <c r="R26" s="132">
        <v>19200</v>
      </c>
      <c r="S26" s="132">
        <f t="shared" si="1"/>
        <v>19200</v>
      </c>
      <c r="T26" s="134"/>
      <c r="X26" s="401"/>
      <c r="Y26" s="399"/>
      <c r="Z26" s="282" t="s">
        <v>143</v>
      </c>
      <c r="AA26" s="282" t="s">
        <v>158</v>
      </c>
      <c r="AB26" s="121">
        <v>96</v>
      </c>
      <c r="AC26" s="132">
        <v>19200</v>
      </c>
      <c r="AD26" s="132">
        <f t="shared" si="2"/>
        <v>19200</v>
      </c>
      <c r="AE26" s="134"/>
    </row>
    <row r="27" spans="1:31" ht="21">
      <c r="A27" s="192">
        <v>4</v>
      </c>
      <c r="B27" s="192" t="s">
        <v>55</v>
      </c>
      <c r="C27" s="192" t="s">
        <v>144</v>
      </c>
      <c r="D27" s="192" t="s">
        <v>33</v>
      </c>
      <c r="E27" s="121">
        <v>96</v>
      </c>
      <c r="F27" s="132">
        <v>28800</v>
      </c>
      <c r="G27" s="132">
        <f t="shared" si="0"/>
        <v>28800</v>
      </c>
      <c r="H27" s="133">
        <v>46082</v>
      </c>
      <c r="I27" s="259"/>
      <c r="J27" s="242"/>
      <c r="K27" s="242"/>
      <c r="L27" s="242"/>
      <c r="M27" s="468">
        <v>4</v>
      </c>
      <c r="N27" s="398" t="s">
        <v>34</v>
      </c>
      <c r="O27" s="239" t="s">
        <v>126</v>
      </c>
      <c r="P27" s="241" t="s">
        <v>35</v>
      </c>
      <c r="Q27" s="121">
        <v>96</v>
      </c>
      <c r="R27" s="132">
        <v>28800</v>
      </c>
      <c r="S27" s="132">
        <v>28800</v>
      </c>
      <c r="T27" s="132"/>
      <c r="X27" s="468">
        <v>4</v>
      </c>
      <c r="Y27" s="398" t="s">
        <v>34</v>
      </c>
      <c r="Z27" s="282" t="s">
        <v>126</v>
      </c>
      <c r="AA27" s="283" t="s">
        <v>35</v>
      </c>
      <c r="AB27" s="121">
        <v>96</v>
      </c>
      <c r="AC27" s="132">
        <v>28800</v>
      </c>
      <c r="AD27" s="132">
        <v>28800</v>
      </c>
      <c r="AE27" s="132"/>
    </row>
    <row r="28" spans="1:31" s="194" customFormat="1" ht="21">
      <c r="A28" s="401">
        <v>5</v>
      </c>
      <c r="B28" s="243" t="s">
        <v>34</v>
      </c>
      <c r="C28" s="192" t="s">
        <v>126</v>
      </c>
      <c r="D28" s="193" t="s">
        <v>35</v>
      </c>
      <c r="E28" s="121">
        <v>96</v>
      </c>
      <c r="F28" s="132">
        <v>28800</v>
      </c>
      <c r="G28" s="132">
        <v>28800</v>
      </c>
      <c r="H28" s="133">
        <v>46082</v>
      </c>
      <c r="I28" s="260"/>
      <c r="J28" s="124"/>
      <c r="K28" s="195"/>
      <c r="L28" s="242"/>
      <c r="M28" s="468"/>
      <c r="N28" s="400"/>
      <c r="O28" s="239" t="s">
        <v>127</v>
      </c>
      <c r="P28" s="241" t="s">
        <v>36</v>
      </c>
      <c r="Q28" s="121">
        <v>96</v>
      </c>
      <c r="R28" s="132">
        <v>28800</v>
      </c>
      <c r="S28" s="132">
        <v>28800</v>
      </c>
      <c r="T28" s="132"/>
      <c r="X28" s="468"/>
      <c r="Y28" s="400"/>
      <c r="Z28" s="282" t="s">
        <v>127</v>
      </c>
      <c r="AA28" s="283" t="s">
        <v>36</v>
      </c>
      <c r="AB28" s="121">
        <v>96</v>
      </c>
      <c r="AC28" s="132">
        <v>28800</v>
      </c>
      <c r="AD28" s="132">
        <v>28800</v>
      </c>
      <c r="AE28" s="132"/>
    </row>
    <row r="29" spans="1:31" s="194" customFormat="1" ht="21">
      <c r="A29" s="401"/>
      <c r="B29" s="243" t="s">
        <v>34</v>
      </c>
      <c r="C29" s="192" t="s">
        <v>127</v>
      </c>
      <c r="D29" s="193" t="s">
        <v>36</v>
      </c>
      <c r="E29" s="121">
        <v>96</v>
      </c>
      <c r="F29" s="132">
        <v>28800</v>
      </c>
      <c r="G29" s="132">
        <v>28800</v>
      </c>
      <c r="H29" s="133">
        <v>46082</v>
      </c>
      <c r="I29" s="260"/>
      <c r="J29" s="124"/>
      <c r="K29" s="195"/>
      <c r="L29" s="242"/>
      <c r="M29" s="468"/>
      <c r="N29" s="400"/>
      <c r="O29" s="239" t="s">
        <v>128</v>
      </c>
      <c r="P29" s="239" t="s">
        <v>12</v>
      </c>
      <c r="Q29" s="121">
        <v>99</v>
      </c>
      <c r="R29" s="132">
        <v>29700</v>
      </c>
      <c r="S29" s="132">
        <v>29700</v>
      </c>
      <c r="T29" s="132"/>
      <c r="X29" s="468"/>
      <c r="Y29" s="400"/>
      <c r="Z29" s="282" t="s">
        <v>128</v>
      </c>
      <c r="AA29" s="282" t="s">
        <v>12</v>
      </c>
      <c r="AB29" s="121">
        <v>99</v>
      </c>
      <c r="AC29" s="132">
        <v>29700</v>
      </c>
      <c r="AD29" s="132">
        <v>29700</v>
      </c>
      <c r="AE29" s="132"/>
    </row>
    <row r="30" spans="1:31" s="194" customFormat="1" ht="21">
      <c r="A30" s="401"/>
      <c r="B30" s="243" t="s">
        <v>34</v>
      </c>
      <c r="C30" s="192" t="s">
        <v>128</v>
      </c>
      <c r="D30" s="192" t="s">
        <v>12</v>
      </c>
      <c r="E30" s="121">
        <v>99</v>
      </c>
      <c r="F30" s="132">
        <v>29700</v>
      </c>
      <c r="G30" s="132">
        <v>29700</v>
      </c>
      <c r="H30" s="133">
        <v>46082</v>
      </c>
      <c r="I30" s="260"/>
      <c r="J30" s="124"/>
      <c r="K30" s="195"/>
      <c r="L30" s="242"/>
      <c r="M30" s="468"/>
      <c r="N30" s="399"/>
      <c r="O30" s="239" t="s">
        <v>129</v>
      </c>
      <c r="P30" s="239" t="s">
        <v>12</v>
      </c>
      <c r="Q30" s="121">
        <v>147</v>
      </c>
      <c r="R30" s="132">
        <v>44100</v>
      </c>
      <c r="S30" s="132">
        <v>44100</v>
      </c>
      <c r="T30" s="132"/>
      <c r="X30" s="468"/>
      <c r="Y30" s="399"/>
      <c r="Z30" s="282" t="s">
        <v>129</v>
      </c>
      <c r="AA30" s="282" t="s">
        <v>12</v>
      </c>
      <c r="AB30" s="121">
        <v>147</v>
      </c>
      <c r="AC30" s="132">
        <v>44100</v>
      </c>
      <c r="AD30" s="132">
        <v>44100</v>
      </c>
      <c r="AE30" s="132"/>
    </row>
    <row r="31" spans="1:31" s="194" customFormat="1" ht="21">
      <c r="A31" s="401"/>
      <c r="B31" s="243" t="s">
        <v>34</v>
      </c>
      <c r="C31" s="192" t="s">
        <v>129</v>
      </c>
      <c r="D31" s="192" t="s">
        <v>12</v>
      </c>
      <c r="E31" s="121">
        <v>147</v>
      </c>
      <c r="F31" s="132">
        <v>44100</v>
      </c>
      <c r="G31" s="132">
        <v>44100</v>
      </c>
      <c r="H31" s="133">
        <v>46082</v>
      </c>
      <c r="I31" s="260"/>
      <c r="J31" s="124"/>
      <c r="K31" s="195"/>
      <c r="L31" s="242"/>
      <c r="M31" s="122"/>
      <c r="N31" s="122"/>
      <c r="O31" s="122"/>
      <c r="P31" s="122"/>
      <c r="Q31" s="123"/>
      <c r="R31" s="124"/>
      <c r="S31" s="124"/>
      <c r="T31" s="196"/>
      <c r="X31" s="122"/>
      <c r="Y31" s="122"/>
      <c r="Z31" s="122"/>
      <c r="AA31" s="122"/>
      <c r="AB31" s="123"/>
      <c r="AC31" s="124"/>
      <c r="AD31" s="124"/>
      <c r="AE31" s="196"/>
    </row>
    <row r="32" spans="1:31" s="194" customFormat="1" ht="21">
      <c r="A32" s="122"/>
      <c r="B32" s="122"/>
      <c r="C32" s="122"/>
      <c r="D32" s="122"/>
      <c r="E32" s="123"/>
      <c r="F32" s="124"/>
      <c r="G32" s="124"/>
      <c r="H32" s="195"/>
      <c r="I32" s="196"/>
      <c r="J32" s="242"/>
      <c r="K32" s="242"/>
      <c r="L32" s="242"/>
      <c r="M32" s="122"/>
      <c r="N32" s="122"/>
      <c r="O32" s="122"/>
      <c r="P32" s="122"/>
      <c r="Q32" s="123"/>
      <c r="R32" s="123"/>
      <c r="S32" s="124"/>
      <c r="T32" s="242"/>
      <c r="X32" s="122"/>
      <c r="Y32" s="122"/>
      <c r="Z32" s="122"/>
      <c r="AA32" s="122"/>
      <c r="AB32" s="123"/>
      <c r="AC32" s="123"/>
      <c r="AD32" s="124"/>
      <c r="AE32" s="284"/>
    </row>
    <row r="33" spans="1:31" ht="21">
      <c r="A33" s="122"/>
      <c r="B33" s="122"/>
      <c r="C33" s="122"/>
      <c r="D33" s="122"/>
      <c r="E33" s="123">
        <f>SUM(E4:E31)</f>
        <v>3138</v>
      </c>
      <c r="F33" s="123"/>
      <c r="G33" s="124"/>
      <c r="H33" s="125"/>
      <c r="I33" s="140"/>
      <c r="J33" s="242"/>
      <c r="K33" s="242"/>
      <c r="L33" s="242"/>
      <c r="M33" s="408" t="s">
        <v>47</v>
      </c>
      <c r="N33" s="408"/>
      <c r="O33" s="408"/>
      <c r="P33" s="408"/>
      <c r="Q33" s="408"/>
      <c r="R33" s="145">
        <f>SUM(R4:R30)</f>
        <v>537400</v>
      </c>
      <c r="S33" s="145">
        <f>SUM(S4:S30)</f>
        <v>537400</v>
      </c>
      <c r="T33" s="134"/>
      <c r="X33" s="408" t="s">
        <v>47</v>
      </c>
      <c r="Y33" s="408"/>
      <c r="Z33" s="408"/>
      <c r="AA33" s="408"/>
      <c r="AB33" s="408"/>
      <c r="AC33" s="145">
        <f>SUM(AC4:AC30)</f>
        <v>537400</v>
      </c>
      <c r="AD33" s="145">
        <f>SUM(AD4:AD30)</f>
        <v>537400</v>
      </c>
      <c r="AE33" s="134"/>
    </row>
    <row r="34" spans="1:31" ht="21">
      <c r="A34" s="408" t="s">
        <v>47</v>
      </c>
      <c r="B34" s="408"/>
      <c r="C34" s="408"/>
      <c r="D34" s="408"/>
      <c r="E34" s="408"/>
      <c r="F34" s="145">
        <f>SUM(F4:F31)</f>
        <v>566200</v>
      </c>
      <c r="G34" s="145">
        <f>SUM(G4:G31)</f>
        <v>566200</v>
      </c>
      <c r="H34" s="139"/>
      <c r="I34" s="134"/>
    </row>
    <row r="35" spans="1:31">
      <c r="F35" s="144"/>
    </row>
    <row r="39" spans="1:31" ht="18.75">
      <c r="A39" s="466" t="s">
        <v>218</v>
      </c>
      <c r="B39" s="466"/>
      <c r="C39" s="466"/>
      <c r="D39" s="466"/>
      <c r="E39" s="466"/>
      <c r="F39" s="466"/>
      <c r="G39" s="466"/>
      <c r="H39" s="466"/>
      <c r="I39" s="466"/>
    </row>
    <row r="40" spans="1:31" ht="23.25">
      <c r="A40" s="469" t="s">
        <v>58</v>
      </c>
      <c r="B40" s="469"/>
      <c r="C40" s="469"/>
      <c r="D40" s="469"/>
      <c r="E40" s="469"/>
      <c r="F40" s="469"/>
      <c r="G40" s="469"/>
      <c r="H40" s="469"/>
      <c r="I40" s="469"/>
    </row>
    <row r="41" spans="1:31" ht="46.5">
      <c r="A41" s="283" t="s">
        <v>161</v>
      </c>
      <c r="B41" s="283" t="s">
        <v>0</v>
      </c>
      <c r="C41" s="283" t="s">
        <v>160</v>
      </c>
      <c r="D41" s="127" t="s">
        <v>46</v>
      </c>
      <c r="E41" s="283" t="s">
        <v>162</v>
      </c>
      <c r="F41" s="128" t="s">
        <v>216</v>
      </c>
      <c r="G41" s="129" t="s">
        <v>65</v>
      </c>
      <c r="H41" s="130" t="s">
        <v>217</v>
      </c>
      <c r="I41" s="131" t="s">
        <v>74</v>
      </c>
    </row>
    <row r="42" spans="1:31" ht="21">
      <c r="A42" s="282">
        <v>1</v>
      </c>
      <c r="B42" s="282" t="s">
        <v>8</v>
      </c>
      <c r="C42" s="282" t="s">
        <v>112</v>
      </c>
      <c r="D42" s="282" t="s">
        <v>16</v>
      </c>
      <c r="E42" s="121">
        <v>96</v>
      </c>
      <c r="F42" s="132">
        <v>14400</v>
      </c>
      <c r="G42" s="132">
        <f>F42</f>
        <v>14400</v>
      </c>
      <c r="H42" s="133">
        <v>46082</v>
      </c>
      <c r="I42" s="141"/>
    </row>
    <row r="43" spans="1:31" ht="21">
      <c r="A43" s="401">
        <v>2</v>
      </c>
      <c r="B43" s="243" t="s">
        <v>4</v>
      </c>
      <c r="C43" s="282" t="s">
        <v>145</v>
      </c>
      <c r="D43" s="282" t="s">
        <v>13</v>
      </c>
      <c r="E43" s="121">
        <v>144</v>
      </c>
      <c r="F43" s="132">
        <v>14400</v>
      </c>
      <c r="G43" s="132">
        <f t="shared" ref="G43:G65" si="3">F43</f>
        <v>14400</v>
      </c>
      <c r="H43" s="133">
        <v>46082</v>
      </c>
      <c r="I43" s="134"/>
    </row>
    <row r="44" spans="1:31" ht="21">
      <c r="A44" s="401"/>
      <c r="B44" s="243" t="s">
        <v>4</v>
      </c>
      <c r="C44" s="282" t="s">
        <v>146</v>
      </c>
      <c r="D44" s="282" t="s">
        <v>17</v>
      </c>
      <c r="E44" s="121">
        <v>96</v>
      </c>
      <c r="F44" s="132">
        <v>9600</v>
      </c>
      <c r="G44" s="132">
        <f t="shared" si="3"/>
        <v>9600</v>
      </c>
      <c r="H44" s="133">
        <v>46082</v>
      </c>
      <c r="I44" s="134"/>
    </row>
    <row r="45" spans="1:31" ht="21">
      <c r="A45" s="401"/>
      <c r="B45" s="243" t="s">
        <v>4</v>
      </c>
      <c r="C45" s="282" t="s">
        <v>147</v>
      </c>
      <c r="D45" s="282" t="s">
        <v>18</v>
      </c>
      <c r="E45" s="121">
        <v>96</v>
      </c>
      <c r="F45" s="132">
        <v>9600</v>
      </c>
      <c r="G45" s="132">
        <f t="shared" si="3"/>
        <v>9600</v>
      </c>
      <c r="H45" s="133">
        <v>46082</v>
      </c>
      <c r="I45" s="134"/>
    </row>
    <row r="46" spans="1:31" ht="21">
      <c r="A46" s="401"/>
      <c r="B46" s="243" t="s">
        <v>4</v>
      </c>
      <c r="C46" s="282" t="s">
        <v>148</v>
      </c>
      <c r="D46" s="282" t="s">
        <v>19</v>
      </c>
      <c r="E46" s="121">
        <v>96</v>
      </c>
      <c r="F46" s="132">
        <v>9600</v>
      </c>
      <c r="G46" s="132">
        <f t="shared" si="3"/>
        <v>9600</v>
      </c>
      <c r="H46" s="133">
        <v>46082</v>
      </c>
      <c r="I46" s="134"/>
    </row>
    <row r="47" spans="1:31" ht="21">
      <c r="A47" s="401"/>
      <c r="B47" s="243" t="s">
        <v>4</v>
      </c>
      <c r="C47" s="282" t="s">
        <v>149</v>
      </c>
      <c r="D47" s="282" t="s">
        <v>20</v>
      </c>
      <c r="E47" s="121">
        <v>118</v>
      </c>
      <c r="F47" s="132">
        <v>11800</v>
      </c>
      <c r="G47" s="132">
        <f t="shared" si="3"/>
        <v>11800</v>
      </c>
      <c r="H47" s="133">
        <v>46082</v>
      </c>
      <c r="I47" s="134"/>
    </row>
    <row r="48" spans="1:31" ht="21">
      <c r="A48" s="401"/>
      <c r="B48" s="243" t="s">
        <v>4</v>
      </c>
      <c r="C48" s="282" t="s">
        <v>150</v>
      </c>
      <c r="D48" s="282" t="s">
        <v>20</v>
      </c>
      <c r="E48" s="121">
        <v>118</v>
      </c>
      <c r="F48" s="132">
        <v>11800</v>
      </c>
      <c r="G48" s="132">
        <f t="shared" si="3"/>
        <v>11800</v>
      </c>
      <c r="H48" s="133">
        <v>46082</v>
      </c>
      <c r="I48" s="134"/>
    </row>
    <row r="49" spans="1:9" ht="21">
      <c r="A49" s="401"/>
      <c r="B49" s="243" t="s">
        <v>4</v>
      </c>
      <c r="C49" s="282" t="s">
        <v>151</v>
      </c>
      <c r="D49" s="282" t="s">
        <v>21</v>
      </c>
      <c r="E49" s="121">
        <v>96</v>
      </c>
      <c r="F49" s="132">
        <v>9600</v>
      </c>
      <c r="G49" s="132">
        <f t="shared" si="3"/>
        <v>9600</v>
      </c>
      <c r="H49" s="133">
        <v>46082</v>
      </c>
      <c r="I49" s="141"/>
    </row>
    <row r="50" spans="1:9" ht="21">
      <c r="A50" s="401"/>
      <c r="B50" s="243" t="s">
        <v>4</v>
      </c>
      <c r="C50" s="282" t="s">
        <v>152</v>
      </c>
      <c r="D50" s="282" t="s">
        <v>12</v>
      </c>
      <c r="E50" s="121">
        <v>96</v>
      </c>
      <c r="F50" s="132">
        <v>9600</v>
      </c>
      <c r="G50" s="132">
        <f t="shared" si="3"/>
        <v>9600</v>
      </c>
      <c r="H50" s="133">
        <v>46082</v>
      </c>
      <c r="I50" s="134"/>
    </row>
    <row r="51" spans="1:9" ht="21">
      <c r="A51" s="401"/>
      <c r="B51" s="243" t="s">
        <v>4</v>
      </c>
      <c r="C51" s="282" t="s">
        <v>153</v>
      </c>
      <c r="D51" s="282" t="s">
        <v>22</v>
      </c>
      <c r="E51" s="121">
        <v>96</v>
      </c>
      <c r="F51" s="132">
        <v>9600</v>
      </c>
      <c r="G51" s="132">
        <f t="shared" si="3"/>
        <v>9600</v>
      </c>
      <c r="H51" s="133">
        <v>46082</v>
      </c>
      <c r="I51" s="134"/>
    </row>
    <row r="52" spans="1:9" ht="21">
      <c r="A52" s="401"/>
      <c r="B52" s="243" t="s">
        <v>4</v>
      </c>
      <c r="C52" s="282" t="s">
        <v>154</v>
      </c>
      <c r="D52" s="282" t="s">
        <v>13</v>
      </c>
      <c r="E52" s="121">
        <v>144</v>
      </c>
      <c r="F52" s="132">
        <v>14400</v>
      </c>
      <c r="G52" s="132">
        <f t="shared" si="3"/>
        <v>14400</v>
      </c>
      <c r="H52" s="133">
        <v>46082</v>
      </c>
      <c r="I52" s="134"/>
    </row>
    <row r="53" spans="1:9" ht="21">
      <c r="A53" s="401">
        <v>3</v>
      </c>
      <c r="B53" s="243" t="s">
        <v>53</v>
      </c>
      <c r="C53" s="282" t="s">
        <v>132</v>
      </c>
      <c r="D53" s="282" t="s">
        <v>158</v>
      </c>
      <c r="E53" s="121">
        <v>144</v>
      </c>
      <c r="F53" s="132">
        <v>28800</v>
      </c>
      <c r="G53" s="132">
        <f t="shared" si="3"/>
        <v>28800</v>
      </c>
      <c r="H53" s="133">
        <v>46082</v>
      </c>
      <c r="I53" s="134"/>
    </row>
    <row r="54" spans="1:9" ht="21">
      <c r="A54" s="401"/>
      <c r="B54" s="243" t="s">
        <v>53</v>
      </c>
      <c r="C54" s="282" t="s">
        <v>133</v>
      </c>
      <c r="D54" s="282" t="s">
        <v>26</v>
      </c>
      <c r="E54" s="121">
        <v>98</v>
      </c>
      <c r="F54" s="132">
        <v>19600</v>
      </c>
      <c r="G54" s="132">
        <f t="shared" si="3"/>
        <v>19600</v>
      </c>
      <c r="H54" s="133">
        <v>46082</v>
      </c>
      <c r="I54" s="134"/>
    </row>
    <row r="55" spans="1:9" ht="21">
      <c r="A55" s="401"/>
      <c r="B55" s="243" t="s">
        <v>53</v>
      </c>
      <c r="C55" s="282" t="s">
        <v>134</v>
      </c>
      <c r="D55" s="282" t="s">
        <v>27</v>
      </c>
      <c r="E55" s="121">
        <v>98</v>
      </c>
      <c r="F55" s="132">
        <v>19600</v>
      </c>
      <c r="G55" s="132">
        <f t="shared" si="3"/>
        <v>19600</v>
      </c>
      <c r="H55" s="133">
        <v>46082</v>
      </c>
      <c r="I55" s="134"/>
    </row>
    <row r="56" spans="1:9" ht="21">
      <c r="A56" s="401"/>
      <c r="B56" s="243" t="s">
        <v>53</v>
      </c>
      <c r="C56" s="282" t="s">
        <v>135</v>
      </c>
      <c r="D56" s="282" t="s">
        <v>28</v>
      </c>
      <c r="E56" s="121">
        <v>99</v>
      </c>
      <c r="F56" s="132">
        <v>19800</v>
      </c>
      <c r="G56" s="132">
        <f t="shared" si="3"/>
        <v>19800</v>
      </c>
      <c r="H56" s="133">
        <v>46082</v>
      </c>
      <c r="I56" s="134"/>
    </row>
    <row r="57" spans="1:9" ht="21">
      <c r="A57" s="401"/>
      <c r="B57" s="243" t="s">
        <v>53</v>
      </c>
      <c r="C57" s="282" t="s">
        <v>136</v>
      </c>
      <c r="D57" s="282" t="s">
        <v>29</v>
      </c>
      <c r="E57" s="121">
        <v>96</v>
      </c>
      <c r="F57" s="132">
        <v>19200</v>
      </c>
      <c r="G57" s="132">
        <f t="shared" si="3"/>
        <v>19200</v>
      </c>
      <c r="H57" s="133">
        <v>46082</v>
      </c>
      <c r="I57" s="134"/>
    </row>
    <row r="58" spans="1:9" ht="21">
      <c r="A58" s="401"/>
      <c r="B58" s="243" t="s">
        <v>53</v>
      </c>
      <c r="C58" s="282" t="s">
        <v>137</v>
      </c>
      <c r="D58" s="282" t="s">
        <v>30</v>
      </c>
      <c r="E58" s="121">
        <v>96</v>
      </c>
      <c r="F58" s="132">
        <v>19200</v>
      </c>
      <c r="G58" s="132">
        <f t="shared" si="3"/>
        <v>19200</v>
      </c>
      <c r="H58" s="133">
        <v>46082</v>
      </c>
      <c r="I58" s="142"/>
    </row>
    <row r="59" spans="1:9" ht="21">
      <c r="A59" s="401"/>
      <c r="B59" s="243" t="s">
        <v>53</v>
      </c>
      <c r="C59" s="282" t="s">
        <v>138</v>
      </c>
      <c r="D59" s="282" t="s">
        <v>31</v>
      </c>
      <c r="E59" s="121">
        <v>147</v>
      </c>
      <c r="F59" s="132">
        <v>29400</v>
      </c>
      <c r="G59" s="132">
        <f t="shared" si="3"/>
        <v>29400</v>
      </c>
      <c r="H59" s="133">
        <v>46082</v>
      </c>
      <c r="I59" s="134"/>
    </row>
    <row r="60" spans="1:9" ht="21">
      <c r="A60" s="401"/>
      <c r="B60" s="243" t="s">
        <v>53</v>
      </c>
      <c r="C60" s="282" t="s">
        <v>139</v>
      </c>
      <c r="D60" s="282" t="s">
        <v>158</v>
      </c>
      <c r="E60" s="121">
        <v>147</v>
      </c>
      <c r="F60" s="132">
        <v>29400</v>
      </c>
      <c r="G60" s="132">
        <f t="shared" si="3"/>
        <v>29400</v>
      </c>
      <c r="H60" s="133">
        <v>46082</v>
      </c>
      <c r="I60" s="134"/>
    </row>
    <row r="61" spans="1:9" ht="21">
      <c r="A61" s="401"/>
      <c r="B61" s="243" t="s">
        <v>53</v>
      </c>
      <c r="C61" s="282" t="s">
        <v>140</v>
      </c>
      <c r="D61" s="282" t="s">
        <v>32</v>
      </c>
      <c r="E61" s="121">
        <v>99</v>
      </c>
      <c r="F61" s="132">
        <v>19800</v>
      </c>
      <c r="G61" s="132">
        <f t="shared" si="3"/>
        <v>19800</v>
      </c>
      <c r="H61" s="133">
        <v>46082</v>
      </c>
      <c r="I61" s="134"/>
    </row>
    <row r="62" spans="1:9" ht="21">
      <c r="A62" s="401"/>
      <c r="B62" s="243" t="s">
        <v>53</v>
      </c>
      <c r="C62" s="282" t="s">
        <v>141</v>
      </c>
      <c r="D62" s="282" t="s">
        <v>158</v>
      </c>
      <c r="E62" s="121">
        <v>192</v>
      </c>
      <c r="F62" s="132">
        <v>38400</v>
      </c>
      <c r="G62" s="132">
        <f t="shared" si="3"/>
        <v>38400</v>
      </c>
      <c r="H62" s="133">
        <v>46082</v>
      </c>
      <c r="I62" s="134"/>
    </row>
    <row r="63" spans="1:9" ht="21">
      <c r="A63" s="401"/>
      <c r="B63" s="243" t="s">
        <v>53</v>
      </c>
      <c r="C63" s="282" t="s">
        <v>142</v>
      </c>
      <c r="D63" s="282" t="s">
        <v>13</v>
      </c>
      <c r="E63" s="121">
        <v>96</v>
      </c>
      <c r="F63" s="132">
        <v>19200</v>
      </c>
      <c r="G63" s="132">
        <f t="shared" si="3"/>
        <v>19200</v>
      </c>
      <c r="H63" s="133">
        <v>46082</v>
      </c>
      <c r="I63" s="134"/>
    </row>
    <row r="64" spans="1:9" ht="21">
      <c r="A64" s="401"/>
      <c r="B64" s="243" t="s">
        <v>53</v>
      </c>
      <c r="C64" s="282" t="s">
        <v>143</v>
      </c>
      <c r="D64" s="282" t="s">
        <v>158</v>
      </c>
      <c r="E64" s="121">
        <v>96</v>
      </c>
      <c r="F64" s="132">
        <v>19200</v>
      </c>
      <c r="G64" s="132">
        <f t="shared" si="3"/>
        <v>19200</v>
      </c>
      <c r="H64" s="133">
        <v>46082</v>
      </c>
      <c r="I64" s="134"/>
    </row>
    <row r="65" spans="1:9" ht="21">
      <c r="A65" s="282">
        <v>4</v>
      </c>
      <c r="B65" s="282" t="s">
        <v>55</v>
      </c>
      <c r="C65" s="282" t="s">
        <v>144</v>
      </c>
      <c r="D65" s="282" t="s">
        <v>33</v>
      </c>
      <c r="E65" s="121">
        <v>96</v>
      </c>
      <c r="F65" s="132">
        <v>28800</v>
      </c>
      <c r="G65" s="132">
        <f t="shared" si="3"/>
        <v>28800</v>
      </c>
      <c r="H65" s="133">
        <v>46082</v>
      </c>
      <c r="I65" s="259"/>
    </row>
    <row r="66" spans="1:9" ht="21">
      <c r="A66" s="401">
        <v>5</v>
      </c>
      <c r="B66" s="243" t="s">
        <v>34</v>
      </c>
      <c r="C66" s="282" t="s">
        <v>126</v>
      </c>
      <c r="D66" s="283" t="s">
        <v>35</v>
      </c>
      <c r="E66" s="121">
        <v>96</v>
      </c>
      <c r="F66" s="132">
        <v>28800</v>
      </c>
      <c r="G66" s="132">
        <v>28800</v>
      </c>
      <c r="H66" s="133">
        <v>46082</v>
      </c>
      <c r="I66" s="260"/>
    </row>
    <row r="67" spans="1:9" ht="21">
      <c r="A67" s="401"/>
      <c r="B67" s="243" t="s">
        <v>34</v>
      </c>
      <c r="C67" s="282" t="s">
        <v>127</v>
      </c>
      <c r="D67" s="283" t="s">
        <v>36</v>
      </c>
      <c r="E67" s="121">
        <v>96</v>
      </c>
      <c r="F67" s="132">
        <v>28800</v>
      </c>
      <c r="G67" s="132">
        <v>28800</v>
      </c>
      <c r="H67" s="133">
        <v>46082</v>
      </c>
      <c r="I67" s="260"/>
    </row>
    <row r="68" spans="1:9" ht="21">
      <c r="A68" s="401"/>
      <c r="B68" s="243" t="s">
        <v>34</v>
      </c>
      <c r="C68" s="282" t="s">
        <v>128</v>
      </c>
      <c r="D68" s="282" t="s">
        <v>12</v>
      </c>
      <c r="E68" s="121">
        <v>99</v>
      </c>
      <c r="F68" s="132">
        <v>29700</v>
      </c>
      <c r="G68" s="132">
        <v>29700</v>
      </c>
      <c r="H68" s="133">
        <v>46082</v>
      </c>
      <c r="I68" s="260"/>
    </row>
    <row r="69" spans="1:9" ht="21">
      <c r="A69" s="401"/>
      <c r="B69" s="243" t="s">
        <v>34</v>
      </c>
      <c r="C69" s="282" t="s">
        <v>129</v>
      </c>
      <c r="D69" s="282" t="s">
        <v>12</v>
      </c>
      <c r="E69" s="121">
        <v>147</v>
      </c>
      <c r="F69" s="132">
        <v>44100</v>
      </c>
      <c r="G69" s="132">
        <v>44100</v>
      </c>
      <c r="H69" s="133">
        <v>46082</v>
      </c>
      <c r="I69" s="260"/>
    </row>
    <row r="70" spans="1:9" ht="21">
      <c r="A70" s="122"/>
      <c r="B70" s="122"/>
      <c r="C70" s="122"/>
      <c r="D70" s="122"/>
      <c r="E70" s="123"/>
      <c r="F70" s="124"/>
      <c r="G70" s="124"/>
      <c r="H70" s="195"/>
      <c r="I70" s="196"/>
    </row>
    <row r="71" spans="1:9" ht="21">
      <c r="A71" s="122"/>
      <c r="B71" s="122"/>
      <c r="C71" s="122"/>
      <c r="D71" s="122"/>
      <c r="E71" s="123">
        <f>SUM(E42:E69)</f>
        <v>3138</v>
      </c>
      <c r="F71" s="123"/>
      <c r="G71" s="124"/>
      <c r="H71" s="125"/>
      <c r="I71" s="284"/>
    </row>
    <row r="72" spans="1:9" ht="21">
      <c r="A72" s="408" t="s">
        <v>47</v>
      </c>
      <c r="B72" s="408"/>
      <c r="C72" s="408"/>
      <c r="D72" s="408"/>
      <c r="E72" s="408"/>
      <c r="F72" s="145">
        <f>SUM(F42:F69)</f>
        <v>566200</v>
      </c>
      <c r="G72" s="145">
        <f>SUM(G42:G69)</f>
        <v>566200</v>
      </c>
      <c r="H72" s="139"/>
      <c r="I72" s="134"/>
    </row>
  </sheetData>
  <mergeCells count="30">
    <mergeCell ref="M33:Q33"/>
    <mergeCell ref="N5:N14"/>
    <mergeCell ref="N15:N26"/>
    <mergeCell ref="N27:N30"/>
    <mergeCell ref="M1:T1"/>
    <mergeCell ref="M2:T2"/>
    <mergeCell ref="M5:M14"/>
    <mergeCell ref="M15:M26"/>
    <mergeCell ref="M27:M30"/>
    <mergeCell ref="A1:I1"/>
    <mergeCell ref="A34:E34"/>
    <mergeCell ref="A5:A14"/>
    <mergeCell ref="A15:A26"/>
    <mergeCell ref="A28:A31"/>
    <mergeCell ref="A72:E72"/>
    <mergeCell ref="X1:AE1"/>
    <mergeCell ref="X2:AE2"/>
    <mergeCell ref="X5:X14"/>
    <mergeCell ref="Y5:Y14"/>
    <mergeCell ref="X15:X26"/>
    <mergeCell ref="Y15:Y26"/>
    <mergeCell ref="X27:X30"/>
    <mergeCell ref="Y27:Y30"/>
    <mergeCell ref="X33:AB33"/>
    <mergeCell ref="A39:I39"/>
    <mergeCell ref="A40:I40"/>
    <mergeCell ref="A43:A52"/>
    <mergeCell ref="A53:A64"/>
    <mergeCell ref="A66:A69"/>
    <mergeCell ref="A2:I2"/>
  </mergeCells>
  <conditionalFormatting sqref="C4">
    <cfRule type="duplicateValues" dxfId="159" priority="65"/>
    <cfRule type="duplicateValues" dxfId="158" priority="66"/>
  </conditionalFormatting>
  <conditionalFormatting sqref="C5:C14">
    <cfRule type="duplicateValues" dxfId="157" priority="63"/>
    <cfRule type="duplicateValues" dxfId="156" priority="64"/>
  </conditionalFormatting>
  <conditionalFormatting sqref="C15:C21">
    <cfRule type="duplicateValues" dxfId="155" priority="57"/>
    <cfRule type="duplicateValues" dxfId="154" priority="58"/>
  </conditionalFormatting>
  <conditionalFormatting sqref="C22:C26">
    <cfRule type="duplicateValues" dxfId="153" priority="67"/>
    <cfRule type="duplicateValues" dxfId="152" priority="68"/>
  </conditionalFormatting>
  <conditionalFormatting sqref="C28:C31">
    <cfRule type="duplicateValues" dxfId="151" priority="49"/>
    <cfRule type="duplicateValues" dxfId="150" priority="50"/>
  </conditionalFormatting>
  <conditionalFormatting sqref="C28:C31">
    <cfRule type="duplicateValues" dxfId="149" priority="51"/>
    <cfRule type="duplicateValues" dxfId="148" priority="52"/>
  </conditionalFormatting>
  <conditionalFormatting sqref="C27 C32">
    <cfRule type="duplicateValues" dxfId="147" priority="271"/>
    <cfRule type="duplicateValues" dxfId="146" priority="272"/>
  </conditionalFormatting>
  <conditionalFormatting sqref="C4:C27 C32:C33">
    <cfRule type="duplicateValues" dxfId="145" priority="275"/>
    <cfRule type="duplicateValues" dxfId="144" priority="276"/>
  </conditionalFormatting>
  <conditionalFormatting sqref="O4">
    <cfRule type="duplicateValues" dxfId="143" priority="41"/>
    <cfRule type="duplicateValues" dxfId="142" priority="42"/>
  </conditionalFormatting>
  <conditionalFormatting sqref="O5:O14">
    <cfRule type="duplicateValues" dxfId="141" priority="39"/>
    <cfRule type="duplicateValues" dxfId="140" priority="40"/>
  </conditionalFormatting>
  <conditionalFormatting sqref="O15:O21">
    <cfRule type="duplicateValues" dxfId="139" priority="37"/>
    <cfRule type="duplicateValues" dxfId="138" priority="38"/>
  </conditionalFormatting>
  <conditionalFormatting sqref="O22:O26">
    <cfRule type="duplicateValues" dxfId="137" priority="43"/>
    <cfRule type="duplicateValues" dxfId="136" priority="44"/>
  </conditionalFormatting>
  <conditionalFormatting sqref="O27:O30">
    <cfRule type="duplicateValues" dxfId="135" priority="33"/>
    <cfRule type="duplicateValues" dxfId="134" priority="34"/>
  </conditionalFormatting>
  <conditionalFormatting sqref="O27:O30">
    <cfRule type="duplicateValues" dxfId="133" priority="35"/>
    <cfRule type="duplicateValues" dxfId="132" priority="36"/>
  </conditionalFormatting>
  <conditionalFormatting sqref="O31">
    <cfRule type="duplicateValues" dxfId="131" priority="45"/>
    <cfRule type="duplicateValues" dxfId="130" priority="46"/>
  </conditionalFormatting>
  <conditionalFormatting sqref="O31:O32 O4:O26">
    <cfRule type="duplicateValues" dxfId="129" priority="47"/>
    <cfRule type="duplicateValues" dxfId="128" priority="48"/>
  </conditionalFormatting>
  <conditionalFormatting sqref="C42">
    <cfRule type="duplicateValues" dxfId="127" priority="25"/>
    <cfRule type="duplicateValues" dxfId="126" priority="26"/>
  </conditionalFormatting>
  <conditionalFormatting sqref="C43:C52">
    <cfRule type="duplicateValues" dxfId="125" priority="23"/>
    <cfRule type="duplicateValues" dxfId="124" priority="24"/>
  </conditionalFormatting>
  <conditionalFormatting sqref="C53:C59">
    <cfRule type="duplicateValues" dxfId="123" priority="21"/>
    <cfRule type="duplicateValues" dxfId="122" priority="22"/>
  </conditionalFormatting>
  <conditionalFormatting sqref="C60:C64">
    <cfRule type="duplicateValues" dxfId="121" priority="27"/>
    <cfRule type="duplicateValues" dxfId="120" priority="28"/>
  </conditionalFormatting>
  <conditionalFormatting sqref="C66:C69">
    <cfRule type="duplicateValues" dxfId="119" priority="17"/>
    <cfRule type="duplicateValues" dxfId="118" priority="18"/>
  </conditionalFormatting>
  <conditionalFormatting sqref="C66:C69">
    <cfRule type="duplicateValues" dxfId="117" priority="19"/>
    <cfRule type="duplicateValues" dxfId="116" priority="20"/>
  </conditionalFormatting>
  <conditionalFormatting sqref="C65 C70">
    <cfRule type="duplicateValues" dxfId="115" priority="29"/>
    <cfRule type="duplicateValues" dxfId="114" priority="30"/>
  </conditionalFormatting>
  <conditionalFormatting sqref="C42:C65 C70:C71">
    <cfRule type="duplicateValues" dxfId="113" priority="31"/>
    <cfRule type="duplicateValues" dxfId="112" priority="32"/>
  </conditionalFormatting>
  <conditionalFormatting sqref="Z4">
    <cfRule type="duplicateValues" dxfId="111" priority="9"/>
    <cfRule type="duplicateValues" dxfId="110" priority="10"/>
  </conditionalFormatting>
  <conditionalFormatting sqref="Z5:Z14">
    <cfRule type="duplicateValues" dxfId="109" priority="7"/>
    <cfRule type="duplicateValues" dxfId="108" priority="8"/>
  </conditionalFormatting>
  <conditionalFormatting sqref="Z15:Z21">
    <cfRule type="duplicateValues" dxfId="107" priority="5"/>
    <cfRule type="duplicateValues" dxfId="106" priority="6"/>
  </conditionalFormatting>
  <conditionalFormatting sqref="Z22:Z26">
    <cfRule type="duplicateValues" dxfId="105" priority="11"/>
    <cfRule type="duplicateValues" dxfId="104" priority="12"/>
  </conditionalFormatting>
  <conditionalFormatting sqref="Z27:Z30">
    <cfRule type="duplicateValues" dxfId="103" priority="1"/>
    <cfRule type="duplicateValues" dxfId="102" priority="2"/>
  </conditionalFormatting>
  <conditionalFormatting sqref="Z27:Z30">
    <cfRule type="duplicateValues" dxfId="101" priority="3"/>
    <cfRule type="duplicateValues" dxfId="100" priority="4"/>
  </conditionalFormatting>
  <conditionalFormatting sqref="Z31">
    <cfRule type="duplicateValues" dxfId="99" priority="13"/>
    <cfRule type="duplicateValues" dxfId="98" priority="14"/>
  </conditionalFormatting>
  <conditionalFormatting sqref="Z31:Z32 Z4:Z26">
    <cfRule type="duplicateValues" dxfId="97" priority="15"/>
    <cfRule type="duplicateValues" dxfId="96" priority="16"/>
  </conditionalFormatting>
  <pageMargins left="0.25" right="0.25" top="0.75" bottom="0.75" header="0.3" footer="0.3"/>
  <pageSetup paperSize="9" scale="67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88"/>
  <sheetViews>
    <sheetView topLeftCell="A40" zoomScale="50" zoomScaleNormal="50" workbookViewId="0">
      <selection activeCell="B11" sqref="B11"/>
    </sheetView>
  </sheetViews>
  <sheetFormatPr defaultRowHeight="15"/>
  <cols>
    <col min="1" max="1" width="14.28515625" bestFit="1" customWidth="1"/>
    <col min="2" max="2" width="135.42578125" customWidth="1"/>
    <col min="3" max="3" width="35.140625" bestFit="1" customWidth="1"/>
    <col min="4" max="4" width="37.42578125" style="89" customWidth="1"/>
    <col min="5" max="5" width="36.85546875" customWidth="1"/>
    <col min="6" max="6" width="29.85546875" customWidth="1"/>
  </cols>
  <sheetData>
    <row r="1" spans="1:6" ht="33" thickBot="1">
      <c r="A1" s="478"/>
      <c r="B1" s="478"/>
      <c r="C1" s="478"/>
      <c r="D1" s="478"/>
      <c r="E1" s="478"/>
      <c r="F1" s="478"/>
    </row>
    <row r="2" spans="1:6" ht="33" thickBot="1">
      <c r="A2" s="471" t="s">
        <v>206</v>
      </c>
      <c r="B2" s="472"/>
      <c r="C2" s="472"/>
      <c r="D2" s="472"/>
      <c r="E2" s="472"/>
      <c r="F2" s="479"/>
    </row>
    <row r="3" spans="1:6" ht="32.25">
      <c r="A3" s="91" t="s">
        <v>167</v>
      </c>
      <c r="B3" s="92" t="s">
        <v>169</v>
      </c>
      <c r="C3" s="92" t="s">
        <v>170</v>
      </c>
      <c r="D3" s="92" t="s">
        <v>174</v>
      </c>
      <c r="E3" s="92" t="s">
        <v>171</v>
      </c>
      <c r="F3" s="93" t="s">
        <v>168</v>
      </c>
    </row>
    <row r="4" spans="1:6" ht="96.75">
      <c r="A4" s="111">
        <v>1</v>
      </c>
      <c r="B4" s="94" t="s">
        <v>176</v>
      </c>
      <c r="C4" s="109">
        <v>33394909</v>
      </c>
      <c r="D4" s="95"/>
      <c r="E4" s="96" t="s">
        <v>173</v>
      </c>
      <c r="F4" s="97">
        <v>14400</v>
      </c>
    </row>
    <row r="5" spans="1:6" ht="96.75">
      <c r="A5" s="111">
        <v>2</v>
      </c>
      <c r="B5" s="94" t="s">
        <v>177</v>
      </c>
      <c r="C5" s="109">
        <v>33394910</v>
      </c>
      <c r="D5" s="95"/>
      <c r="E5" s="96" t="s">
        <v>173</v>
      </c>
      <c r="F5" s="97">
        <v>14400</v>
      </c>
    </row>
    <row r="6" spans="1:6" ht="96.75">
      <c r="A6" s="111">
        <v>3</v>
      </c>
      <c r="B6" s="94" t="s">
        <v>178</v>
      </c>
      <c r="C6" s="109">
        <v>33394911</v>
      </c>
      <c r="D6" s="95"/>
      <c r="E6" s="96" t="s">
        <v>173</v>
      </c>
      <c r="F6" s="97">
        <v>14400</v>
      </c>
    </row>
    <row r="7" spans="1:6" ht="96.75">
      <c r="A7" s="111">
        <v>4</v>
      </c>
      <c r="B7" s="94" t="s">
        <v>179</v>
      </c>
      <c r="C7" s="109">
        <v>33394912</v>
      </c>
      <c r="D7" s="95"/>
      <c r="E7" s="96" t="s">
        <v>173</v>
      </c>
      <c r="F7" s="97">
        <v>14400</v>
      </c>
    </row>
    <row r="8" spans="1:6" ht="96.75">
      <c r="A8" s="111">
        <v>5</v>
      </c>
      <c r="B8" s="94" t="s">
        <v>180</v>
      </c>
      <c r="C8" s="109">
        <v>33394913</v>
      </c>
      <c r="D8" s="95" t="s">
        <v>210</v>
      </c>
      <c r="E8" s="96" t="s">
        <v>173</v>
      </c>
      <c r="F8" s="97">
        <v>17280</v>
      </c>
    </row>
    <row r="9" spans="1:6" ht="96.75">
      <c r="A9" s="111">
        <v>6</v>
      </c>
      <c r="B9" s="94" t="s">
        <v>181</v>
      </c>
      <c r="C9" s="109">
        <v>33394914</v>
      </c>
      <c r="D9" s="95"/>
      <c r="E9" s="96" t="s">
        <v>173</v>
      </c>
      <c r="F9" s="97">
        <v>9600</v>
      </c>
    </row>
    <row r="10" spans="1:6" ht="96.75">
      <c r="A10" s="111">
        <v>7</v>
      </c>
      <c r="B10" s="94" t="s">
        <v>182</v>
      </c>
      <c r="C10" s="109">
        <v>33394915</v>
      </c>
      <c r="D10" s="95"/>
      <c r="E10" s="96" t="s">
        <v>173</v>
      </c>
      <c r="F10" s="97">
        <v>9600</v>
      </c>
    </row>
    <row r="11" spans="1:6" ht="96.75">
      <c r="A11" s="111">
        <v>8</v>
      </c>
      <c r="B11" s="94" t="s">
        <v>183</v>
      </c>
      <c r="C11" s="109">
        <v>33394916</v>
      </c>
      <c r="D11" s="95"/>
      <c r="E11" s="96" t="s">
        <v>173</v>
      </c>
      <c r="F11" s="97">
        <v>9600</v>
      </c>
    </row>
    <row r="12" spans="1:6" ht="96.75">
      <c r="A12" s="111">
        <v>9</v>
      </c>
      <c r="B12" s="94" t="s">
        <v>184</v>
      </c>
      <c r="C12" s="109">
        <v>33394917</v>
      </c>
      <c r="D12" s="95"/>
      <c r="E12" s="96" t="s">
        <v>173</v>
      </c>
      <c r="F12" s="97">
        <v>9600</v>
      </c>
    </row>
    <row r="13" spans="1:6" ht="96.75">
      <c r="A13" s="111">
        <v>10</v>
      </c>
      <c r="B13" s="94" t="s">
        <v>185</v>
      </c>
      <c r="C13" s="109">
        <v>33394918</v>
      </c>
      <c r="D13" s="95"/>
      <c r="E13" s="96" t="s">
        <v>173</v>
      </c>
      <c r="F13" s="97">
        <v>11800</v>
      </c>
    </row>
    <row r="14" spans="1:6" ht="96.75">
      <c r="A14" s="111">
        <v>11</v>
      </c>
      <c r="B14" s="94" t="s">
        <v>186</v>
      </c>
      <c r="C14" s="109">
        <v>33394919</v>
      </c>
      <c r="D14" s="95"/>
      <c r="E14" s="96" t="s">
        <v>173</v>
      </c>
      <c r="F14" s="97">
        <v>11800</v>
      </c>
    </row>
    <row r="15" spans="1:6" ht="96.75">
      <c r="A15" s="111">
        <v>12</v>
      </c>
      <c r="B15" s="94" t="s">
        <v>187</v>
      </c>
      <c r="C15" s="109">
        <v>33394920</v>
      </c>
      <c r="D15" s="95"/>
      <c r="E15" s="96" t="s">
        <v>173</v>
      </c>
      <c r="F15" s="97">
        <v>11800</v>
      </c>
    </row>
    <row r="16" spans="1:6" ht="96.75">
      <c r="A16" s="111">
        <v>13</v>
      </c>
      <c r="B16" s="94" t="s">
        <v>188</v>
      </c>
      <c r="C16" s="109">
        <v>33394921</v>
      </c>
      <c r="D16" s="95"/>
      <c r="E16" s="96" t="s">
        <v>173</v>
      </c>
      <c r="F16" s="97">
        <v>11800</v>
      </c>
    </row>
    <row r="17" spans="1:6" ht="96.75">
      <c r="A17" s="111">
        <v>14</v>
      </c>
      <c r="B17" s="94" t="s">
        <v>189</v>
      </c>
      <c r="C17" s="109">
        <v>33394922</v>
      </c>
      <c r="D17" s="95" t="s">
        <v>210</v>
      </c>
      <c r="E17" s="96" t="s">
        <v>173</v>
      </c>
      <c r="F17" s="97">
        <v>9600</v>
      </c>
    </row>
    <row r="18" spans="1:6" ht="97.5" thickBot="1">
      <c r="A18" s="111">
        <v>15</v>
      </c>
      <c r="B18" s="94" t="s">
        <v>190</v>
      </c>
      <c r="C18" s="109">
        <v>33394923</v>
      </c>
      <c r="D18" s="95" t="s">
        <v>210</v>
      </c>
      <c r="E18" s="96" t="s">
        <v>173</v>
      </c>
      <c r="F18" s="97">
        <v>9600</v>
      </c>
    </row>
    <row r="19" spans="1:6" s="112" customFormat="1" ht="46.5" customHeight="1" thickBot="1">
      <c r="A19" s="471" t="s">
        <v>172</v>
      </c>
      <c r="B19" s="472"/>
      <c r="C19" s="472"/>
      <c r="D19" s="472"/>
      <c r="E19" s="472"/>
      <c r="F19" s="101">
        <f>SUM(F4:F18)</f>
        <v>179680</v>
      </c>
    </row>
    <row r="20" spans="1:6" s="112" customFormat="1" ht="32.25">
      <c r="A20" s="115"/>
      <c r="B20" s="114"/>
      <c r="C20" s="115"/>
      <c r="D20" s="116"/>
      <c r="E20" s="117"/>
      <c r="F20" s="119"/>
    </row>
    <row r="21" spans="1:6" s="112" customFormat="1" ht="32.25">
      <c r="A21" s="115"/>
      <c r="B21" s="114"/>
      <c r="C21" s="115"/>
      <c r="D21" s="116"/>
      <c r="E21" s="117"/>
      <c r="F21" s="119"/>
    </row>
    <row r="22" spans="1:6" s="112" customFormat="1" ht="32.25">
      <c r="A22" s="115"/>
      <c r="B22" s="114"/>
      <c r="C22" s="115"/>
      <c r="D22" s="116"/>
      <c r="E22" s="117"/>
      <c r="F22" s="119"/>
    </row>
    <row r="23" spans="1:6" s="112" customFormat="1" ht="32.25">
      <c r="A23" s="115"/>
      <c r="B23" s="114"/>
      <c r="C23" s="115"/>
      <c r="D23" s="116"/>
      <c r="E23" s="117"/>
      <c r="F23" s="119"/>
    </row>
    <row r="24" spans="1:6" s="112" customFormat="1" ht="32.25">
      <c r="A24" s="113"/>
      <c r="B24" s="102"/>
      <c r="C24" s="102"/>
      <c r="D24" s="102"/>
      <c r="E24" s="102"/>
      <c r="F24" s="102"/>
    </row>
    <row r="25" spans="1:6" s="112" customFormat="1" ht="32.25">
      <c r="A25" s="113"/>
      <c r="B25" s="103"/>
      <c r="C25" s="102"/>
      <c r="D25" s="473"/>
      <c r="E25" s="473"/>
      <c r="F25" s="102"/>
    </row>
    <row r="26" spans="1:6" s="112" customFormat="1" ht="32.25">
      <c r="A26" s="113"/>
      <c r="B26" s="105" t="s">
        <v>209</v>
      </c>
      <c r="C26" s="106"/>
      <c r="D26" s="475" t="s">
        <v>207</v>
      </c>
      <c r="E26" s="475"/>
      <c r="F26" s="102"/>
    </row>
    <row r="27" spans="1:6" s="112" customFormat="1" ht="32.25">
      <c r="A27" s="113"/>
      <c r="B27" s="107"/>
      <c r="C27" s="106"/>
      <c r="D27" s="102"/>
      <c r="E27" s="102"/>
      <c r="F27" s="102"/>
    </row>
    <row r="28" spans="1:6" s="112" customFormat="1" ht="32.25">
      <c r="A28" s="113"/>
      <c r="B28" s="102"/>
      <c r="C28" s="102"/>
      <c r="D28" s="102"/>
      <c r="E28" s="102"/>
      <c r="F28" s="102"/>
    </row>
    <row r="29" spans="1:6" s="112" customFormat="1" ht="32.25">
      <c r="A29" s="113"/>
      <c r="B29" s="102"/>
      <c r="C29" s="102"/>
      <c r="D29" s="102"/>
      <c r="E29" s="102"/>
      <c r="F29" s="102"/>
    </row>
    <row r="30" spans="1:6" s="112" customFormat="1" ht="32.25">
      <c r="A30" s="113"/>
      <c r="B30" s="102"/>
      <c r="C30" s="102"/>
      <c r="D30" s="102"/>
      <c r="E30" s="102"/>
      <c r="F30" s="102"/>
    </row>
    <row r="31" spans="1:6" s="112" customFormat="1" ht="32.25">
      <c r="A31" s="113"/>
      <c r="B31" s="102"/>
      <c r="C31" s="102"/>
      <c r="D31" s="102"/>
      <c r="E31" s="102"/>
      <c r="F31" s="102"/>
    </row>
    <row r="32" spans="1:6" s="112" customFormat="1" ht="32.25">
      <c r="A32" s="113"/>
      <c r="B32" s="103"/>
      <c r="C32" s="102"/>
      <c r="D32" s="473"/>
      <c r="E32" s="473"/>
      <c r="F32" s="102"/>
    </row>
    <row r="33" spans="1:6" s="112" customFormat="1" ht="32.25">
      <c r="A33" s="113"/>
      <c r="B33" s="108" t="s">
        <v>208</v>
      </c>
      <c r="C33" s="102"/>
      <c r="D33" s="474" t="s">
        <v>175</v>
      </c>
      <c r="E33" s="474"/>
      <c r="F33" s="102"/>
    </row>
    <row r="34" spans="1:6" s="112" customFormat="1" ht="32.25">
      <c r="A34" s="113"/>
      <c r="B34" s="114"/>
      <c r="C34" s="115"/>
      <c r="D34" s="116"/>
      <c r="E34" s="117"/>
      <c r="F34" s="118"/>
    </row>
    <row r="35" spans="1:6" s="112" customFormat="1" ht="32.25">
      <c r="A35" s="113"/>
      <c r="B35" s="114"/>
      <c r="C35" s="115"/>
      <c r="D35" s="116"/>
      <c r="E35" s="117"/>
      <c r="F35" s="118"/>
    </row>
    <row r="36" spans="1:6" s="112" customFormat="1" ht="32.25">
      <c r="A36" s="113"/>
      <c r="B36" s="114"/>
      <c r="C36" s="115"/>
      <c r="D36" s="116"/>
      <c r="E36" s="117"/>
      <c r="F36" s="118"/>
    </row>
    <row r="37" spans="1:6" s="112" customFormat="1" ht="32.25">
      <c r="A37" s="113"/>
      <c r="B37" s="114"/>
      <c r="C37" s="115"/>
      <c r="D37" s="116"/>
      <c r="E37" s="117"/>
      <c r="F37" s="118"/>
    </row>
    <row r="38" spans="1:6" s="112" customFormat="1" ht="33" thickBot="1">
      <c r="A38" s="113"/>
      <c r="B38" s="114"/>
      <c r="C38" s="115"/>
      <c r="D38" s="116"/>
      <c r="E38" s="117"/>
      <c r="F38" s="118"/>
    </row>
    <row r="39" spans="1:6" s="112" customFormat="1" ht="33" thickBot="1">
      <c r="A39" s="471" t="s">
        <v>206</v>
      </c>
      <c r="B39" s="472"/>
      <c r="C39" s="472"/>
      <c r="D39" s="472"/>
      <c r="E39" s="472"/>
      <c r="F39" s="479"/>
    </row>
    <row r="40" spans="1:6" s="112" customFormat="1" ht="32.25">
      <c r="A40" s="91" t="s">
        <v>167</v>
      </c>
      <c r="B40" s="92" t="s">
        <v>169</v>
      </c>
      <c r="C40" s="92" t="s">
        <v>170</v>
      </c>
      <c r="D40" s="92" t="s">
        <v>174</v>
      </c>
      <c r="E40" s="92" t="s">
        <v>171</v>
      </c>
      <c r="F40" s="93" t="s">
        <v>168</v>
      </c>
    </row>
    <row r="41" spans="1:6" ht="96.75">
      <c r="A41" s="111">
        <v>1</v>
      </c>
      <c r="B41" s="94" t="s">
        <v>191</v>
      </c>
      <c r="C41" s="109">
        <v>33394924</v>
      </c>
      <c r="D41" s="95"/>
      <c r="E41" s="96" t="s">
        <v>173</v>
      </c>
      <c r="F41" s="97">
        <v>9600</v>
      </c>
    </row>
    <row r="42" spans="1:6" ht="96.75">
      <c r="A42" s="111">
        <v>2</v>
      </c>
      <c r="B42" s="94" t="s">
        <v>192</v>
      </c>
      <c r="C42" s="109">
        <v>33394925</v>
      </c>
      <c r="D42" s="95"/>
      <c r="E42" s="96" t="s">
        <v>173</v>
      </c>
      <c r="F42" s="97">
        <v>9600</v>
      </c>
    </row>
    <row r="43" spans="1:6" ht="96.75">
      <c r="A43" s="111">
        <v>3</v>
      </c>
      <c r="B43" s="94" t="s">
        <v>193</v>
      </c>
      <c r="C43" s="109">
        <v>33394926</v>
      </c>
      <c r="D43" s="95"/>
      <c r="E43" s="96" t="s">
        <v>173</v>
      </c>
      <c r="F43" s="97">
        <v>9600</v>
      </c>
    </row>
    <row r="44" spans="1:6" ht="96.75">
      <c r="A44" s="111">
        <v>4</v>
      </c>
      <c r="B44" s="94" t="s">
        <v>194</v>
      </c>
      <c r="C44" s="109">
        <v>33394927</v>
      </c>
      <c r="D44" s="95"/>
      <c r="E44" s="96" t="s">
        <v>173</v>
      </c>
      <c r="F44" s="97">
        <v>9600</v>
      </c>
    </row>
    <row r="45" spans="1:6" ht="96.75">
      <c r="A45" s="111">
        <v>5</v>
      </c>
      <c r="B45" s="94" t="s">
        <v>195</v>
      </c>
      <c r="C45" s="109">
        <v>33394928</v>
      </c>
      <c r="D45" s="95"/>
      <c r="E45" s="96" t="s">
        <v>173</v>
      </c>
      <c r="F45" s="97">
        <v>28800</v>
      </c>
    </row>
    <row r="46" spans="1:6" ht="96.75">
      <c r="A46" s="111">
        <v>6</v>
      </c>
      <c r="B46" s="94" t="s">
        <v>196</v>
      </c>
      <c r="C46" s="109">
        <v>33394929</v>
      </c>
      <c r="D46" s="95"/>
      <c r="E46" s="96" t="s">
        <v>173</v>
      </c>
      <c r="F46" s="97">
        <v>28800</v>
      </c>
    </row>
    <row r="47" spans="1:6" ht="96.75">
      <c r="A47" s="111">
        <v>7</v>
      </c>
      <c r="B47" s="94" t="s">
        <v>197</v>
      </c>
      <c r="C47" s="109">
        <v>33394930</v>
      </c>
      <c r="D47" s="95"/>
      <c r="E47" s="96" t="s">
        <v>173</v>
      </c>
      <c r="F47" s="97">
        <v>28800</v>
      </c>
    </row>
    <row r="48" spans="1:6" ht="96.75">
      <c r="A48" s="111">
        <v>8</v>
      </c>
      <c r="B48" s="94" t="s">
        <v>198</v>
      </c>
      <c r="C48" s="109">
        <v>33394931</v>
      </c>
      <c r="D48" s="95"/>
      <c r="E48" s="96" t="s">
        <v>173</v>
      </c>
      <c r="F48" s="97">
        <v>28800</v>
      </c>
    </row>
    <row r="49" spans="1:6" ht="96.75">
      <c r="A49" s="111">
        <v>9</v>
      </c>
      <c r="B49" s="94" t="s">
        <v>199</v>
      </c>
      <c r="C49" s="109">
        <v>33394932</v>
      </c>
      <c r="D49" s="95"/>
      <c r="E49" s="96" t="s">
        <v>173</v>
      </c>
      <c r="F49" s="97">
        <v>19600</v>
      </c>
    </row>
    <row r="50" spans="1:6" ht="96.75">
      <c r="A50" s="111">
        <v>10</v>
      </c>
      <c r="B50" s="94" t="s">
        <v>200</v>
      </c>
      <c r="C50" s="109">
        <v>33394933</v>
      </c>
      <c r="D50" s="95"/>
      <c r="E50" s="96" t="s">
        <v>173</v>
      </c>
      <c r="F50" s="97">
        <v>19600</v>
      </c>
    </row>
    <row r="51" spans="1:6" ht="96.75">
      <c r="A51" s="111">
        <v>11</v>
      </c>
      <c r="B51" s="94" t="s">
        <v>201</v>
      </c>
      <c r="C51" s="109">
        <v>33394934</v>
      </c>
      <c r="D51" s="95"/>
      <c r="E51" s="96" t="s">
        <v>173</v>
      </c>
      <c r="F51" s="97">
        <v>19800</v>
      </c>
    </row>
    <row r="52" spans="1:6" ht="96.75">
      <c r="A52" s="111">
        <v>12</v>
      </c>
      <c r="B52" s="94" t="s">
        <v>202</v>
      </c>
      <c r="C52" s="109">
        <v>33394935</v>
      </c>
      <c r="D52" s="95"/>
      <c r="E52" s="96" t="s">
        <v>173</v>
      </c>
      <c r="F52" s="97">
        <v>19200</v>
      </c>
    </row>
    <row r="53" spans="1:6" ht="64.5">
      <c r="A53" s="111">
        <v>13</v>
      </c>
      <c r="B53" s="94" t="s">
        <v>203</v>
      </c>
      <c r="C53" s="109">
        <v>33394936</v>
      </c>
      <c r="D53" s="95"/>
      <c r="E53" s="96" t="s">
        <v>173</v>
      </c>
      <c r="F53" s="97">
        <v>19200</v>
      </c>
    </row>
    <row r="54" spans="1:6" ht="64.5">
      <c r="A54" s="111">
        <v>14</v>
      </c>
      <c r="B54" s="94" t="s">
        <v>204</v>
      </c>
      <c r="C54" s="109">
        <v>33394937</v>
      </c>
      <c r="D54" s="95"/>
      <c r="E54" s="96" t="s">
        <v>173</v>
      </c>
      <c r="F54" s="97">
        <v>29400</v>
      </c>
    </row>
    <row r="55" spans="1:6" ht="65.25" thickBot="1">
      <c r="A55" s="111">
        <v>15</v>
      </c>
      <c r="B55" s="98" t="s">
        <v>205</v>
      </c>
      <c r="C55" s="110">
        <v>33394938</v>
      </c>
      <c r="D55" s="99"/>
      <c r="E55" s="96" t="s">
        <v>173</v>
      </c>
      <c r="F55" s="100">
        <v>19800</v>
      </c>
    </row>
    <row r="56" spans="1:6" ht="33" thickBot="1">
      <c r="A56" s="471" t="s">
        <v>172</v>
      </c>
      <c r="B56" s="472"/>
      <c r="C56" s="472"/>
      <c r="D56" s="472"/>
      <c r="E56" s="472"/>
      <c r="F56" s="101">
        <f>SUM(F41:F55)</f>
        <v>300200</v>
      </c>
    </row>
    <row r="57" spans="1:6" ht="32.25">
      <c r="A57" s="102"/>
      <c r="B57" s="102"/>
      <c r="C57" s="102"/>
      <c r="D57" s="102"/>
      <c r="E57" s="102"/>
      <c r="F57" s="102"/>
    </row>
    <row r="58" spans="1:6" s="90" customFormat="1" ht="32.25">
      <c r="A58" s="102"/>
      <c r="B58" s="102"/>
      <c r="C58" s="102"/>
      <c r="D58" s="102"/>
      <c r="E58" s="102"/>
      <c r="F58" s="102"/>
    </row>
    <row r="59" spans="1:6" s="90" customFormat="1" ht="32.25">
      <c r="A59" s="102"/>
      <c r="B59" s="102"/>
      <c r="C59" s="102"/>
      <c r="D59" s="102"/>
      <c r="E59" s="102"/>
      <c r="F59" s="102"/>
    </row>
    <row r="60" spans="1:6" s="90" customFormat="1" ht="32.25">
      <c r="A60" s="102"/>
      <c r="B60" s="102"/>
      <c r="C60" s="102"/>
      <c r="D60" s="102"/>
      <c r="E60" s="102"/>
      <c r="F60" s="102"/>
    </row>
    <row r="61" spans="1:6" s="90" customFormat="1" ht="32.25">
      <c r="A61" s="102"/>
      <c r="B61" s="102"/>
      <c r="C61" s="102"/>
      <c r="D61" s="102"/>
      <c r="E61" s="102"/>
      <c r="F61" s="102"/>
    </row>
    <row r="62" spans="1:6" ht="32.25">
      <c r="A62" s="102"/>
      <c r="B62" s="102"/>
      <c r="C62" s="102"/>
      <c r="D62" s="102"/>
      <c r="E62" s="102"/>
      <c r="F62" s="102"/>
    </row>
    <row r="63" spans="1:6" ht="32.25">
      <c r="A63" s="102"/>
      <c r="B63" s="103"/>
      <c r="C63" s="102"/>
      <c r="D63" s="473"/>
      <c r="E63" s="473"/>
      <c r="F63" s="102"/>
    </row>
    <row r="64" spans="1:6" ht="32.25">
      <c r="A64" s="104"/>
      <c r="B64" s="105" t="s">
        <v>209</v>
      </c>
      <c r="C64" s="106"/>
      <c r="D64" s="475" t="s">
        <v>207</v>
      </c>
      <c r="E64" s="475"/>
      <c r="F64" s="102"/>
    </row>
    <row r="65" spans="1:6" ht="28.5" customHeight="1">
      <c r="A65" s="107"/>
      <c r="B65" s="107"/>
      <c r="C65" s="106"/>
      <c r="D65" s="102"/>
      <c r="E65" s="102"/>
      <c r="F65" s="102"/>
    </row>
    <row r="66" spans="1:6" ht="32.25">
      <c r="A66" s="102"/>
      <c r="B66" s="102"/>
      <c r="C66" s="102"/>
      <c r="D66" s="102"/>
      <c r="E66" s="102"/>
      <c r="F66" s="102"/>
    </row>
    <row r="67" spans="1:6" ht="32.25">
      <c r="A67" s="102"/>
      <c r="B67" s="102"/>
      <c r="C67" s="102"/>
      <c r="D67" s="102"/>
      <c r="E67" s="102"/>
      <c r="F67" s="102"/>
    </row>
    <row r="68" spans="1:6" ht="32.25">
      <c r="A68" s="102"/>
      <c r="B68" s="102"/>
      <c r="C68" s="102"/>
      <c r="D68" s="102"/>
      <c r="E68" s="102"/>
      <c r="F68" s="102"/>
    </row>
    <row r="69" spans="1:6" ht="32.25">
      <c r="A69" s="102"/>
      <c r="B69" s="102"/>
      <c r="C69" s="102"/>
      <c r="D69" s="102"/>
      <c r="E69" s="102"/>
      <c r="F69" s="102"/>
    </row>
    <row r="70" spans="1:6" ht="32.25">
      <c r="A70" s="102"/>
      <c r="B70" s="103"/>
      <c r="C70" s="102"/>
      <c r="D70" s="473"/>
      <c r="E70" s="473"/>
      <c r="F70" s="102"/>
    </row>
    <row r="71" spans="1:6" ht="32.25">
      <c r="A71" s="102"/>
      <c r="B71" s="108" t="s">
        <v>208</v>
      </c>
      <c r="C71" s="102"/>
      <c r="D71" s="474" t="s">
        <v>175</v>
      </c>
      <c r="E71" s="474"/>
      <c r="F71" s="102"/>
    </row>
    <row r="72" spans="1:6" ht="32.25">
      <c r="A72" s="102"/>
      <c r="B72" s="102"/>
      <c r="C72" s="102"/>
      <c r="D72" s="102"/>
      <c r="E72" s="102"/>
      <c r="F72" s="102"/>
    </row>
    <row r="83" spans="1:6" ht="39">
      <c r="A83" s="460" t="s">
        <v>206</v>
      </c>
      <c r="B83" s="461"/>
      <c r="C83" s="461"/>
      <c r="D83" s="461"/>
      <c r="E83" s="461"/>
      <c r="F83" s="462"/>
    </row>
    <row r="84" spans="1:6" ht="39">
      <c r="A84" s="218" t="s">
        <v>167</v>
      </c>
      <c r="B84" s="218" t="s">
        <v>169</v>
      </c>
      <c r="C84" s="218" t="s">
        <v>170</v>
      </c>
      <c r="D84" s="218" t="s">
        <v>174</v>
      </c>
      <c r="E84" s="218" t="s">
        <v>171</v>
      </c>
      <c r="F84" s="218" t="s">
        <v>168</v>
      </c>
    </row>
    <row r="85" spans="1:6" ht="156">
      <c r="A85" s="220">
        <v>1</v>
      </c>
      <c r="B85" s="200" t="s">
        <v>234</v>
      </c>
      <c r="C85" s="220">
        <v>33649726</v>
      </c>
      <c r="D85" s="217"/>
      <c r="E85" s="203" t="s">
        <v>173</v>
      </c>
      <c r="F85" s="230">
        <v>17640</v>
      </c>
    </row>
    <row r="86" spans="1:6" ht="156">
      <c r="A86" s="220">
        <v>2</v>
      </c>
      <c r="B86" s="200" t="s">
        <v>235</v>
      </c>
      <c r="C86" s="220">
        <v>33649727</v>
      </c>
      <c r="D86" s="217"/>
      <c r="E86" s="203" t="s">
        <v>173</v>
      </c>
      <c r="F86" s="230">
        <v>17820</v>
      </c>
    </row>
    <row r="87" spans="1:6" ht="156">
      <c r="A87" s="220">
        <v>3</v>
      </c>
      <c r="B87" s="200" t="s">
        <v>236</v>
      </c>
      <c r="C87" s="220">
        <v>33649728</v>
      </c>
      <c r="D87" s="217"/>
      <c r="E87" s="203" t="s">
        <v>173</v>
      </c>
      <c r="F87" s="230">
        <v>26460</v>
      </c>
    </row>
    <row r="88" spans="1:6" ht="156">
      <c r="A88" s="220">
        <v>4</v>
      </c>
      <c r="B88" s="200" t="s">
        <v>237</v>
      </c>
      <c r="C88" s="220">
        <v>33649729</v>
      </c>
      <c r="D88" s="217"/>
      <c r="E88" s="203" t="s">
        <v>173</v>
      </c>
      <c r="F88" s="230">
        <v>26460</v>
      </c>
    </row>
    <row r="89" spans="1:6" ht="156">
      <c r="A89" s="220">
        <v>5</v>
      </c>
      <c r="B89" s="200" t="s">
        <v>238</v>
      </c>
      <c r="C89" s="220">
        <v>33649730</v>
      </c>
      <c r="D89" s="217"/>
      <c r="E89" s="203" t="s">
        <v>173</v>
      </c>
      <c r="F89" s="230">
        <v>17820</v>
      </c>
    </row>
    <row r="90" spans="1:6" ht="156">
      <c r="A90" s="220">
        <v>6</v>
      </c>
      <c r="B90" s="200" t="s">
        <v>239</v>
      </c>
      <c r="C90" s="220">
        <v>33649731</v>
      </c>
      <c r="D90" s="217"/>
      <c r="E90" s="203" t="s">
        <v>173</v>
      </c>
      <c r="F90" s="230">
        <v>34560</v>
      </c>
    </row>
    <row r="91" spans="1:6" ht="156">
      <c r="A91" s="220">
        <v>7</v>
      </c>
      <c r="B91" s="200" t="s">
        <v>248</v>
      </c>
      <c r="C91" s="220">
        <v>33649732</v>
      </c>
      <c r="D91" s="217"/>
      <c r="E91" s="203" t="s">
        <v>173</v>
      </c>
      <c r="F91" s="230">
        <v>14400</v>
      </c>
    </row>
    <row r="92" spans="1:6" ht="156">
      <c r="A92" s="220">
        <v>8</v>
      </c>
      <c r="B92" s="200" t="s">
        <v>249</v>
      </c>
      <c r="C92" s="220">
        <v>33649733</v>
      </c>
      <c r="D92" s="217"/>
      <c r="E92" s="203" t="s">
        <v>173</v>
      </c>
      <c r="F92" s="230">
        <v>14400</v>
      </c>
    </row>
    <row r="93" spans="1:6" ht="156">
      <c r="A93" s="220">
        <v>9</v>
      </c>
      <c r="B93" s="200" t="s">
        <v>240</v>
      </c>
      <c r="C93" s="220">
        <v>33649734</v>
      </c>
      <c r="D93" s="217"/>
      <c r="E93" s="203" t="s">
        <v>173</v>
      </c>
      <c r="F93" s="230">
        <v>9600</v>
      </c>
    </row>
    <row r="94" spans="1:6" ht="156">
      <c r="A94" s="220">
        <v>10</v>
      </c>
      <c r="B94" s="200" t="s">
        <v>241</v>
      </c>
      <c r="C94" s="220">
        <v>33649735</v>
      </c>
      <c r="D94" s="217"/>
      <c r="E94" s="203" t="s">
        <v>173</v>
      </c>
      <c r="F94" s="230">
        <v>9600</v>
      </c>
    </row>
    <row r="95" spans="1:6" s="198" customFormat="1" ht="118.5" customHeight="1">
      <c r="A95" s="220" t="s">
        <v>172</v>
      </c>
      <c r="B95" s="220"/>
      <c r="C95" s="220"/>
      <c r="D95" s="220"/>
      <c r="E95" s="220"/>
      <c r="F95" s="216">
        <f>SUM(F85:F94)</f>
        <v>188760</v>
      </c>
    </row>
    <row r="96" spans="1:6" s="198" customFormat="1" ht="118.5" customHeight="1">
      <c r="A96" s="211"/>
      <c r="B96" s="233" t="s">
        <v>273</v>
      </c>
      <c r="C96" s="211"/>
      <c r="D96" s="233" t="s">
        <v>273</v>
      </c>
      <c r="E96" s="211"/>
      <c r="F96" s="222"/>
    </row>
    <row r="97" spans="1:6" s="198" customFormat="1" ht="118.5" customHeight="1">
      <c r="A97" s="211"/>
      <c r="B97" s="228" t="s">
        <v>209</v>
      </c>
      <c r="C97" s="211"/>
      <c r="D97" s="228" t="s">
        <v>207</v>
      </c>
      <c r="E97" s="228"/>
      <c r="F97" s="228"/>
    </row>
    <row r="98" spans="1:6" s="198" customFormat="1" ht="118.5" customHeight="1">
      <c r="A98" s="211"/>
      <c r="B98" s="211" t="s">
        <v>254</v>
      </c>
      <c r="C98" s="211"/>
      <c r="D98" s="211"/>
      <c r="E98" s="211"/>
      <c r="F98" s="211"/>
    </row>
    <row r="99" spans="1:6" s="198" customFormat="1" ht="118.5" customHeight="1">
      <c r="A99" s="211"/>
      <c r="B99" s="233" t="s">
        <v>273</v>
      </c>
      <c r="C99" s="212"/>
      <c r="D99" s="233" t="s">
        <v>273</v>
      </c>
      <c r="E99" s="212"/>
      <c r="F99" s="212"/>
    </row>
    <row r="100" spans="1:6" s="198" customFormat="1" ht="118.5" customHeight="1">
      <c r="A100" s="211"/>
      <c r="B100" s="228" t="s">
        <v>208</v>
      </c>
      <c r="C100" s="211"/>
      <c r="D100" s="229" t="s">
        <v>175</v>
      </c>
      <c r="E100" s="229"/>
      <c r="F100" s="229"/>
    </row>
    <row r="101" spans="1:6" s="198" customFormat="1" ht="118.5" customHeight="1">
      <c r="A101" s="204"/>
      <c r="B101" s="204"/>
      <c r="C101" s="204"/>
      <c r="D101" s="204"/>
      <c r="E101" s="204"/>
      <c r="F101" s="222"/>
    </row>
    <row r="102" spans="1:6" s="198" customFormat="1" ht="118.5" customHeight="1">
      <c r="A102" s="204"/>
      <c r="B102" s="204"/>
      <c r="C102" s="204"/>
      <c r="D102" s="204"/>
      <c r="E102" s="204"/>
      <c r="F102" s="222"/>
    </row>
    <row r="103" spans="1:6" s="198" customFormat="1" ht="39">
      <c r="A103" s="457" t="s">
        <v>206</v>
      </c>
      <c r="B103" s="457"/>
      <c r="C103" s="457"/>
      <c r="D103" s="457"/>
      <c r="E103" s="457"/>
      <c r="F103" s="457"/>
    </row>
    <row r="104" spans="1:6" s="198" customFormat="1" ht="39">
      <c r="A104" s="218" t="s">
        <v>167</v>
      </c>
      <c r="B104" s="218" t="s">
        <v>169</v>
      </c>
      <c r="C104" s="218" t="s">
        <v>170</v>
      </c>
      <c r="D104" s="218" t="s">
        <v>174</v>
      </c>
      <c r="E104" s="218" t="s">
        <v>171</v>
      </c>
      <c r="F104" s="218" t="s">
        <v>168</v>
      </c>
    </row>
    <row r="105" spans="1:6" ht="156">
      <c r="A105" s="220">
        <v>1</v>
      </c>
      <c r="B105" s="200" t="s">
        <v>242</v>
      </c>
      <c r="C105" s="220">
        <v>33649736</v>
      </c>
      <c r="D105" s="217"/>
      <c r="E105" s="203" t="s">
        <v>173</v>
      </c>
      <c r="F105" s="216">
        <v>14400</v>
      </c>
    </row>
    <row r="106" spans="1:6" ht="156">
      <c r="A106" s="220">
        <v>2</v>
      </c>
      <c r="B106" s="200" t="s">
        <v>243</v>
      </c>
      <c r="C106" s="220">
        <v>33649737</v>
      </c>
      <c r="D106" s="217"/>
      <c r="E106" s="203" t="s">
        <v>173</v>
      </c>
      <c r="F106" s="216">
        <v>14400</v>
      </c>
    </row>
    <row r="107" spans="1:6" ht="156">
      <c r="A107" s="220">
        <v>3</v>
      </c>
      <c r="B107" s="200" t="s">
        <v>244</v>
      </c>
      <c r="C107" s="220">
        <v>33649738</v>
      </c>
      <c r="D107" s="217"/>
      <c r="E107" s="203" t="s">
        <v>173</v>
      </c>
      <c r="F107" s="216">
        <v>29700</v>
      </c>
    </row>
    <row r="108" spans="1:6" ht="156">
      <c r="A108" s="220">
        <v>4</v>
      </c>
      <c r="B108" s="200" t="s">
        <v>251</v>
      </c>
      <c r="C108" s="220">
        <v>33649739</v>
      </c>
      <c r="D108" s="217"/>
      <c r="E108" s="203" t="s">
        <v>173</v>
      </c>
      <c r="F108" s="216">
        <v>29700</v>
      </c>
    </row>
    <row r="109" spans="1:6" ht="156">
      <c r="A109" s="220">
        <v>5</v>
      </c>
      <c r="B109" s="200" t="s">
        <v>250</v>
      </c>
      <c r="C109" s="220">
        <v>33649740</v>
      </c>
      <c r="D109" s="217"/>
      <c r="E109" s="203" t="s">
        <v>173</v>
      </c>
      <c r="F109" s="216">
        <v>44100</v>
      </c>
    </row>
    <row r="110" spans="1:6" s="197" customFormat="1" ht="117">
      <c r="A110" s="220">
        <v>6</v>
      </c>
      <c r="B110" s="200" t="s">
        <v>233</v>
      </c>
      <c r="C110" s="220">
        <v>33649741</v>
      </c>
      <c r="D110" s="217"/>
      <c r="E110" s="203" t="s">
        <v>173</v>
      </c>
      <c r="F110" s="216">
        <v>44100</v>
      </c>
    </row>
    <row r="111" spans="1:6" s="197" customFormat="1" ht="156">
      <c r="A111" s="220">
        <v>7</v>
      </c>
      <c r="B111" s="200" t="s">
        <v>245</v>
      </c>
      <c r="C111" s="220">
        <v>33649742</v>
      </c>
      <c r="D111" s="217"/>
      <c r="E111" s="203" t="s">
        <v>173</v>
      </c>
      <c r="F111" s="216">
        <v>28800</v>
      </c>
    </row>
    <row r="112" spans="1:6" s="197" customFormat="1" ht="156">
      <c r="A112" s="220">
        <v>8</v>
      </c>
      <c r="B112" s="200" t="s">
        <v>246</v>
      </c>
      <c r="C112" s="220">
        <v>33649743</v>
      </c>
      <c r="D112" s="217"/>
      <c r="E112" s="203" t="s">
        <v>173</v>
      </c>
      <c r="F112" s="216">
        <v>29400</v>
      </c>
    </row>
    <row r="113" spans="1:6" s="197" customFormat="1" ht="156">
      <c r="A113" s="220">
        <v>9</v>
      </c>
      <c r="B113" s="200" t="s">
        <v>252</v>
      </c>
      <c r="C113" s="220">
        <v>33649744</v>
      </c>
      <c r="D113" s="217"/>
      <c r="E113" s="203" t="s">
        <v>173</v>
      </c>
      <c r="F113" s="216">
        <v>38400</v>
      </c>
    </row>
    <row r="114" spans="1:6" s="197" customFormat="1" ht="156">
      <c r="A114" s="220">
        <v>10</v>
      </c>
      <c r="B114" s="200" t="s">
        <v>253</v>
      </c>
      <c r="C114" s="220">
        <v>33649745</v>
      </c>
      <c r="D114" s="217"/>
      <c r="E114" s="203" t="s">
        <v>173</v>
      </c>
      <c r="F114" s="216">
        <v>19200</v>
      </c>
    </row>
    <row r="115" spans="1:6" s="197" customFormat="1" ht="156">
      <c r="A115" s="220">
        <v>11</v>
      </c>
      <c r="B115" s="200" t="s">
        <v>247</v>
      </c>
      <c r="C115" s="220">
        <v>33649746</v>
      </c>
      <c r="D115" s="217"/>
      <c r="E115" s="203" t="s">
        <v>173</v>
      </c>
      <c r="F115" s="216">
        <v>19200</v>
      </c>
    </row>
    <row r="116" spans="1:6" ht="39">
      <c r="A116" s="457" t="s">
        <v>172</v>
      </c>
      <c r="B116" s="457"/>
      <c r="C116" s="457"/>
      <c r="D116" s="457"/>
      <c r="E116" s="457"/>
      <c r="F116" s="219">
        <f>SUM(F105:F115)</f>
        <v>311400</v>
      </c>
    </row>
    <row r="117" spans="1:6" ht="39">
      <c r="A117" s="211"/>
      <c r="B117" s="205"/>
      <c r="C117" s="211"/>
      <c r="D117" s="206"/>
      <c r="E117" s="207"/>
      <c r="F117" s="232"/>
    </row>
    <row r="118" spans="1:6" ht="39">
      <c r="A118" s="211"/>
      <c r="B118" s="205"/>
      <c r="C118" s="211"/>
      <c r="D118" s="206"/>
      <c r="E118" s="207"/>
      <c r="F118" s="232"/>
    </row>
    <row r="119" spans="1:6" ht="39">
      <c r="A119" s="211"/>
      <c r="B119" s="205"/>
      <c r="C119" s="211"/>
      <c r="D119" s="206"/>
      <c r="E119" s="207"/>
      <c r="F119" s="232"/>
    </row>
    <row r="120" spans="1:6" ht="39">
      <c r="A120" s="211"/>
      <c r="B120" s="205"/>
      <c r="C120" s="211"/>
      <c r="D120" s="206"/>
      <c r="E120" s="207"/>
      <c r="F120" s="232"/>
    </row>
    <row r="121" spans="1:6" ht="39">
      <c r="A121" s="211"/>
      <c r="B121" s="155"/>
      <c r="C121" s="155"/>
      <c r="D121" s="155"/>
      <c r="E121" s="155"/>
      <c r="F121" s="155"/>
    </row>
    <row r="122" spans="1:6" ht="39">
      <c r="A122" s="211"/>
      <c r="B122" s="155"/>
      <c r="C122" s="155"/>
      <c r="D122" s="458"/>
      <c r="E122" s="458"/>
      <c r="F122" s="155"/>
    </row>
    <row r="123" spans="1:6" ht="39">
      <c r="A123" s="211"/>
      <c r="B123" s="225" t="s">
        <v>209</v>
      </c>
      <c r="C123" s="224"/>
      <c r="D123" s="459" t="s">
        <v>207</v>
      </c>
      <c r="E123" s="459"/>
      <c r="F123" s="155"/>
    </row>
    <row r="124" spans="1:6" ht="39">
      <c r="A124" s="199"/>
      <c r="B124" s="155"/>
      <c r="C124" s="155"/>
      <c r="D124" s="155"/>
      <c r="E124" s="155"/>
      <c r="F124" s="155"/>
    </row>
    <row r="125" spans="1:6" ht="39">
      <c r="A125" s="199"/>
      <c r="B125" s="155"/>
      <c r="C125" s="155"/>
      <c r="D125" s="155"/>
      <c r="E125" s="155"/>
      <c r="F125" s="155"/>
    </row>
    <row r="126" spans="1:6" ht="39">
      <c r="A126" s="199"/>
      <c r="B126" s="155"/>
      <c r="C126" s="155"/>
      <c r="D126" s="155"/>
      <c r="E126" s="155"/>
      <c r="F126" s="155"/>
    </row>
    <row r="127" spans="1:6" ht="39">
      <c r="A127" s="199"/>
      <c r="B127" s="155"/>
      <c r="C127" s="155"/>
      <c r="D127" s="155"/>
      <c r="E127" s="155"/>
      <c r="F127" s="155"/>
    </row>
    <row r="128" spans="1:6" ht="39">
      <c r="A128" s="199"/>
      <c r="B128" s="155"/>
      <c r="C128" s="155"/>
      <c r="D128" s="155"/>
      <c r="E128" s="155"/>
      <c r="F128" s="155"/>
    </row>
    <row r="129" spans="1:6" ht="39">
      <c r="A129" s="199"/>
      <c r="B129" s="155"/>
      <c r="C129" s="155"/>
      <c r="D129" s="155"/>
      <c r="E129" s="155"/>
      <c r="F129" s="155"/>
    </row>
    <row r="130" spans="1:6" ht="39">
      <c r="A130" s="199"/>
      <c r="B130" s="215"/>
      <c r="C130" s="215"/>
      <c r="D130" s="458"/>
      <c r="E130" s="458"/>
      <c r="F130" s="155"/>
    </row>
    <row r="131" spans="1:6" ht="39">
      <c r="A131" s="199"/>
      <c r="B131" s="225" t="s">
        <v>208</v>
      </c>
      <c r="C131" s="211"/>
      <c r="D131" s="477" t="s">
        <v>175</v>
      </c>
      <c r="E131" s="477"/>
      <c r="F131" s="155"/>
    </row>
    <row r="132" spans="1:6" ht="39">
      <c r="A132" s="198"/>
      <c r="B132" s="155"/>
      <c r="C132" s="155"/>
      <c r="D132" s="155"/>
      <c r="E132" s="155"/>
      <c r="F132" s="155"/>
    </row>
    <row r="133" spans="1:6">
      <c r="A133" s="198"/>
      <c r="B133" s="198"/>
      <c r="C133" s="198"/>
      <c r="D133" s="198"/>
      <c r="E133" s="198"/>
      <c r="F133" s="198"/>
    </row>
    <row r="134" spans="1:6">
      <c r="A134" s="198"/>
      <c r="B134" s="198"/>
      <c r="C134" s="198"/>
      <c r="D134" s="198"/>
      <c r="E134" s="198"/>
      <c r="F134" s="198"/>
    </row>
    <row r="135" spans="1:6">
      <c r="A135" s="198"/>
      <c r="B135" s="198"/>
      <c r="C135" s="198"/>
      <c r="D135" s="198"/>
      <c r="E135" s="198"/>
      <c r="F135" s="198"/>
    </row>
    <row r="136" spans="1:6">
      <c r="A136" s="198"/>
      <c r="B136" s="198"/>
      <c r="C136" s="198"/>
      <c r="D136" s="198"/>
      <c r="E136" s="198"/>
      <c r="F136" s="198"/>
    </row>
    <row r="146" spans="1:6" ht="39">
      <c r="A146" s="457" t="s">
        <v>206</v>
      </c>
      <c r="B146" s="457"/>
      <c r="C146" s="457"/>
      <c r="D146" s="457"/>
      <c r="E146" s="457"/>
      <c r="F146" s="457"/>
    </row>
    <row r="147" spans="1:6" ht="39">
      <c r="A147" s="218" t="s">
        <v>167</v>
      </c>
      <c r="B147" s="218" t="s">
        <v>169</v>
      </c>
      <c r="C147" s="218" t="s">
        <v>170</v>
      </c>
      <c r="D147" s="218" t="s">
        <v>174</v>
      </c>
      <c r="E147" s="218" t="s">
        <v>171</v>
      </c>
      <c r="F147" s="218" t="s">
        <v>168</v>
      </c>
    </row>
    <row r="148" spans="1:6" ht="195">
      <c r="A148" s="201">
        <v>1</v>
      </c>
      <c r="B148" s="200" t="s">
        <v>255</v>
      </c>
      <c r="C148" s="201">
        <v>33649747</v>
      </c>
      <c r="D148" s="202"/>
      <c r="E148" s="221" t="s">
        <v>173</v>
      </c>
      <c r="F148" s="216">
        <v>14400</v>
      </c>
    </row>
    <row r="149" spans="1:6" ht="195">
      <c r="A149" s="201">
        <v>2</v>
      </c>
      <c r="B149" s="200" t="s">
        <v>256</v>
      </c>
      <c r="C149" s="201">
        <v>33649748</v>
      </c>
      <c r="D149" s="202"/>
      <c r="E149" s="221" t="s">
        <v>173</v>
      </c>
      <c r="F149" s="216">
        <v>9600</v>
      </c>
    </row>
    <row r="150" spans="1:6" ht="195">
      <c r="A150" s="201">
        <v>3</v>
      </c>
      <c r="B150" s="200" t="s">
        <v>257</v>
      </c>
      <c r="C150" s="201">
        <v>33649749</v>
      </c>
      <c r="D150" s="202"/>
      <c r="E150" s="221" t="s">
        <v>173</v>
      </c>
      <c r="F150" s="216">
        <v>9600</v>
      </c>
    </row>
    <row r="151" spans="1:6" ht="195">
      <c r="A151" s="201">
        <v>4</v>
      </c>
      <c r="B151" s="200" t="s">
        <v>258</v>
      </c>
      <c r="C151" s="201">
        <v>33649750</v>
      </c>
      <c r="D151" s="202"/>
      <c r="E151" s="221" t="s">
        <v>173</v>
      </c>
      <c r="F151" s="216">
        <v>9600</v>
      </c>
    </row>
    <row r="152" spans="1:6" ht="195">
      <c r="A152" s="201">
        <v>5</v>
      </c>
      <c r="B152" s="200" t="s">
        <v>259</v>
      </c>
      <c r="C152" s="201">
        <v>33649751</v>
      </c>
      <c r="D152" s="202"/>
      <c r="E152" s="221" t="s">
        <v>173</v>
      </c>
      <c r="F152" s="216">
        <v>11800</v>
      </c>
    </row>
    <row r="153" spans="1:6" ht="195">
      <c r="A153" s="201">
        <v>6</v>
      </c>
      <c r="B153" s="200" t="s">
        <v>260</v>
      </c>
      <c r="C153" s="201">
        <v>33649752</v>
      </c>
      <c r="D153" s="202"/>
      <c r="E153" s="221" t="s">
        <v>173</v>
      </c>
      <c r="F153" s="216">
        <v>11800</v>
      </c>
    </row>
    <row r="154" spans="1:6" ht="195">
      <c r="A154" s="201">
        <v>7</v>
      </c>
      <c r="B154" s="200" t="s">
        <v>261</v>
      </c>
      <c r="C154" s="201">
        <v>33649753</v>
      </c>
      <c r="D154" s="202"/>
      <c r="E154" s="221" t="s">
        <v>173</v>
      </c>
      <c r="F154" s="216">
        <v>9600</v>
      </c>
    </row>
    <row r="155" spans="1:6" ht="195">
      <c r="A155" s="201">
        <v>8</v>
      </c>
      <c r="B155" s="200" t="s">
        <v>262</v>
      </c>
      <c r="C155" s="201">
        <v>33649754</v>
      </c>
      <c r="D155" s="202"/>
      <c r="E155" s="221" t="s">
        <v>173</v>
      </c>
      <c r="F155" s="216">
        <v>9600</v>
      </c>
    </row>
    <row r="156" spans="1:6" ht="195">
      <c r="A156" s="201">
        <v>9</v>
      </c>
      <c r="B156" s="200" t="s">
        <v>263</v>
      </c>
      <c r="C156" s="201">
        <v>33649755</v>
      </c>
      <c r="D156" s="202"/>
      <c r="E156" s="221" t="s">
        <v>173</v>
      </c>
      <c r="F156" s="216">
        <v>19600</v>
      </c>
    </row>
    <row r="157" spans="1:6" s="198" customFormat="1" ht="39">
      <c r="A157" s="204"/>
      <c r="B157" s="205"/>
      <c r="C157" s="204"/>
      <c r="D157" s="206"/>
      <c r="E157" s="207"/>
      <c r="F157" s="222"/>
    </row>
    <row r="158" spans="1:6" s="198" customFormat="1" ht="39">
      <c r="A158" s="476" t="s">
        <v>172</v>
      </c>
      <c r="B158" s="476"/>
      <c r="C158" s="476"/>
      <c r="D158" s="476"/>
      <c r="E158" s="476"/>
      <c r="F158" s="231">
        <f>SUM(F148:F156)</f>
        <v>105600</v>
      </c>
    </row>
    <row r="159" spans="1:6" s="198" customFormat="1" ht="39">
      <c r="A159" s="204"/>
      <c r="B159" s="205"/>
      <c r="C159" s="480"/>
      <c r="D159" s="477"/>
      <c r="E159" s="477"/>
      <c r="F159" s="477"/>
    </row>
    <row r="160" spans="1:6" s="198" customFormat="1" ht="39">
      <c r="A160" s="204"/>
      <c r="B160" s="205"/>
      <c r="C160" s="204"/>
      <c r="D160" s="206"/>
      <c r="E160" s="207"/>
      <c r="F160" s="222"/>
    </row>
    <row r="161" spans="1:6" s="198" customFormat="1" ht="39">
      <c r="A161" s="204"/>
      <c r="B161" s="205"/>
      <c r="C161" s="204"/>
      <c r="D161" s="206"/>
      <c r="E161" s="207"/>
      <c r="F161" s="222"/>
    </row>
    <row r="162" spans="1:6" s="198" customFormat="1" ht="39">
      <c r="A162" s="204"/>
      <c r="B162" s="205"/>
      <c r="C162" s="204"/>
      <c r="D162" s="206"/>
      <c r="E162" s="207"/>
      <c r="F162" s="222"/>
    </row>
    <row r="163" spans="1:6" s="198" customFormat="1" ht="39">
      <c r="A163" s="204"/>
      <c r="B163" s="205"/>
      <c r="C163" s="204"/>
      <c r="D163" s="206"/>
      <c r="E163" s="207"/>
      <c r="F163" s="222"/>
    </row>
    <row r="164" spans="1:6" s="198" customFormat="1" ht="39">
      <c r="A164" s="204"/>
      <c r="B164" s="205"/>
      <c r="C164" s="204"/>
      <c r="D164" s="206"/>
      <c r="E164" s="207"/>
      <c r="F164" s="222"/>
    </row>
    <row r="165" spans="1:6" s="198" customFormat="1" ht="39">
      <c r="A165" s="204"/>
      <c r="B165" s="205"/>
      <c r="C165" s="204"/>
      <c r="D165" s="206"/>
      <c r="E165" s="207"/>
      <c r="F165" s="222"/>
    </row>
    <row r="166" spans="1:6" s="198" customFormat="1" ht="39">
      <c r="A166" s="204"/>
      <c r="B166" s="208"/>
      <c r="C166" s="155"/>
      <c r="D166" s="481"/>
      <c r="E166" s="481"/>
      <c r="F166" s="222"/>
    </row>
    <row r="167" spans="1:6" s="198" customFormat="1" ht="39">
      <c r="A167" s="204"/>
      <c r="B167" s="209" t="s">
        <v>209</v>
      </c>
      <c r="C167" s="210"/>
      <c r="D167" s="482" t="s">
        <v>207</v>
      </c>
      <c r="E167" s="482"/>
      <c r="F167" s="222"/>
    </row>
    <row r="168" spans="1:6" s="198" customFormat="1" ht="39">
      <c r="A168" s="204"/>
      <c r="B168" s="155"/>
      <c r="C168" s="155"/>
      <c r="D168" s="155"/>
      <c r="E168" s="155"/>
      <c r="F168" s="222"/>
    </row>
    <row r="169" spans="1:6" s="198" customFormat="1" ht="39">
      <c r="A169" s="204"/>
      <c r="B169" s="155"/>
      <c r="C169" s="155"/>
      <c r="D169" s="155"/>
      <c r="E169" s="155"/>
      <c r="F169" s="222"/>
    </row>
    <row r="170" spans="1:6" s="198" customFormat="1" ht="39">
      <c r="A170" s="204"/>
      <c r="B170" s="155"/>
      <c r="C170" s="155"/>
      <c r="D170" s="155"/>
      <c r="E170" s="155"/>
      <c r="F170" s="222"/>
    </row>
    <row r="171" spans="1:6" s="198" customFormat="1" ht="39">
      <c r="A171" s="204"/>
      <c r="B171" s="155"/>
      <c r="C171" s="155"/>
      <c r="D171" s="155"/>
      <c r="E171" s="155"/>
      <c r="F171" s="222"/>
    </row>
    <row r="172" spans="1:6" s="198" customFormat="1" ht="39">
      <c r="A172" s="204"/>
      <c r="B172" s="155"/>
      <c r="C172" s="155"/>
      <c r="D172" s="155"/>
      <c r="E172" s="155"/>
      <c r="F172" s="222"/>
    </row>
    <row r="173" spans="1:6" s="198" customFormat="1" ht="39">
      <c r="A173" s="204"/>
      <c r="B173" s="155"/>
      <c r="C173" s="155"/>
      <c r="D173" s="155"/>
      <c r="E173" s="155"/>
      <c r="F173" s="222"/>
    </row>
    <row r="174" spans="1:6" s="198" customFormat="1" ht="39">
      <c r="A174" s="204"/>
      <c r="B174" s="214"/>
      <c r="C174" s="215"/>
      <c r="D174" s="481"/>
      <c r="E174" s="481"/>
      <c r="F174" s="222"/>
    </row>
    <row r="175" spans="1:6" s="198" customFormat="1" ht="39">
      <c r="A175" s="204"/>
      <c r="B175" s="209" t="s">
        <v>208</v>
      </c>
      <c r="C175" s="204"/>
      <c r="D175" s="483" t="s">
        <v>175</v>
      </c>
      <c r="E175" s="483"/>
      <c r="F175" s="222"/>
    </row>
    <row r="176" spans="1:6" s="198" customFormat="1" ht="39">
      <c r="A176" s="204"/>
      <c r="B176" s="205"/>
      <c r="C176" s="204"/>
      <c r="D176" s="206"/>
      <c r="E176" s="207"/>
      <c r="F176" s="222"/>
    </row>
    <row r="177" spans="1:6" s="198" customFormat="1" ht="39">
      <c r="A177" s="204"/>
      <c r="B177" s="205"/>
      <c r="C177" s="204"/>
      <c r="D177" s="206"/>
      <c r="E177" s="207"/>
      <c r="F177" s="222"/>
    </row>
    <row r="178" spans="1:6" s="198" customFormat="1" ht="39">
      <c r="A178" s="204"/>
      <c r="B178" s="205"/>
      <c r="C178" s="204"/>
      <c r="D178" s="206"/>
      <c r="E178" s="207"/>
      <c r="F178" s="222"/>
    </row>
    <row r="179" spans="1:6" s="198" customFormat="1" ht="39">
      <c r="A179" s="457" t="s">
        <v>206</v>
      </c>
      <c r="B179" s="457"/>
      <c r="C179" s="457"/>
      <c r="D179" s="457"/>
      <c r="E179" s="457"/>
      <c r="F179" s="457"/>
    </row>
    <row r="180" spans="1:6" s="198" customFormat="1" ht="39">
      <c r="A180" s="218" t="s">
        <v>167</v>
      </c>
      <c r="B180" s="218" t="s">
        <v>169</v>
      </c>
      <c r="C180" s="218" t="s">
        <v>170</v>
      </c>
      <c r="D180" s="218" t="s">
        <v>174</v>
      </c>
      <c r="E180" s="218" t="s">
        <v>171</v>
      </c>
      <c r="F180" s="218" t="s">
        <v>168</v>
      </c>
    </row>
    <row r="181" spans="1:6" ht="195">
      <c r="A181" s="201">
        <v>1</v>
      </c>
      <c r="B181" s="200" t="s">
        <v>264</v>
      </c>
      <c r="C181" s="201">
        <v>33649756</v>
      </c>
      <c r="D181" s="202"/>
      <c r="E181" s="221" t="s">
        <v>173</v>
      </c>
      <c r="F181" s="216">
        <v>19600</v>
      </c>
    </row>
    <row r="182" spans="1:6" ht="195">
      <c r="A182" s="201">
        <v>2</v>
      </c>
      <c r="B182" s="200" t="s">
        <v>265</v>
      </c>
      <c r="C182" s="201">
        <v>33649757</v>
      </c>
      <c r="D182" s="202"/>
      <c r="E182" s="221" t="s">
        <v>173</v>
      </c>
      <c r="F182" s="216">
        <v>19800</v>
      </c>
    </row>
    <row r="183" spans="1:6" s="198" customFormat="1" ht="223.5" customHeight="1">
      <c r="A183" s="201">
        <v>3</v>
      </c>
      <c r="B183" s="200" t="s">
        <v>266</v>
      </c>
      <c r="C183" s="201">
        <v>33649758</v>
      </c>
      <c r="D183" s="202"/>
      <c r="E183" s="221" t="s">
        <v>173</v>
      </c>
      <c r="F183" s="216">
        <v>19200</v>
      </c>
    </row>
    <row r="184" spans="1:6" s="198" customFormat="1" ht="195">
      <c r="A184" s="201">
        <v>4</v>
      </c>
      <c r="B184" s="200" t="s">
        <v>267</v>
      </c>
      <c r="C184" s="201">
        <v>33649759</v>
      </c>
      <c r="D184" s="202"/>
      <c r="E184" s="221" t="s">
        <v>173</v>
      </c>
      <c r="F184" s="216">
        <v>19200</v>
      </c>
    </row>
    <row r="185" spans="1:6" s="198" customFormat="1" ht="156" customHeight="1">
      <c r="A185" s="201">
        <v>5</v>
      </c>
      <c r="B185" s="200" t="s">
        <v>268</v>
      </c>
      <c r="C185" s="201">
        <v>33649760</v>
      </c>
      <c r="D185" s="202"/>
      <c r="E185" s="221" t="s">
        <v>173</v>
      </c>
      <c r="F185" s="216">
        <v>29400</v>
      </c>
    </row>
    <row r="186" spans="1:6" s="198" customFormat="1" ht="156" customHeight="1">
      <c r="A186" s="201">
        <v>6</v>
      </c>
      <c r="B186" s="200" t="s">
        <v>269</v>
      </c>
      <c r="C186" s="201">
        <v>33649761</v>
      </c>
      <c r="D186" s="202"/>
      <c r="E186" s="221" t="s">
        <v>173</v>
      </c>
      <c r="F186" s="216">
        <v>19800</v>
      </c>
    </row>
    <row r="187" spans="1:6" s="198" customFormat="1" ht="195">
      <c r="A187" s="201">
        <v>7</v>
      </c>
      <c r="B187" s="200" t="s">
        <v>270</v>
      </c>
      <c r="C187" s="201">
        <v>33649762</v>
      </c>
      <c r="D187" s="202"/>
      <c r="E187" s="221" t="s">
        <v>173</v>
      </c>
      <c r="F187" s="216">
        <v>28800</v>
      </c>
    </row>
    <row r="188" spans="1:6" s="198" customFormat="1" ht="195">
      <c r="A188" s="201">
        <v>8</v>
      </c>
      <c r="B188" s="200" t="s">
        <v>271</v>
      </c>
      <c r="C188" s="201">
        <v>33649763</v>
      </c>
      <c r="D188" s="202"/>
      <c r="E188" s="221" t="s">
        <v>173</v>
      </c>
      <c r="F188" s="216">
        <v>28800</v>
      </c>
    </row>
    <row r="189" spans="1:6" s="198" customFormat="1" ht="195">
      <c r="A189" s="201">
        <v>9</v>
      </c>
      <c r="B189" s="200" t="s">
        <v>272</v>
      </c>
      <c r="C189" s="201">
        <v>33649764</v>
      </c>
      <c r="D189" s="202"/>
      <c r="E189" s="221" t="s">
        <v>173</v>
      </c>
      <c r="F189" s="216">
        <v>28800</v>
      </c>
    </row>
    <row r="190" spans="1:6" s="198" customFormat="1" ht="39">
      <c r="A190" s="204"/>
      <c r="B190" s="205"/>
      <c r="C190" s="204"/>
      <c r="D190" s="206"/>
      <c r="E190" s="207"/>
      <c r="F190" s="222"/>
    </row>
    <row r="191" spans="1:6" ht="39">
      <c r="A191" s="457" t="s">
        <v>172</v>
      </c>
      <c r="B191" s="457"/>
      <c r="C191" s="457"/>
      <c r="D191" s="457"/>
      <c r="E191" s="457"/>
      <c r="F191" s="219">
        <f>SUM(F181:F189)</f>
        <v>213400</v>
      </c>
    </row>
    <row r="192" spans="1:6">
      <c r="A192" s="198"/>
      <c r="B192" s="198"/>
      <c r="C192" s="198"/>
      <c r="D192" s="198"/>
      <c r="E192" s="198"/>
      <c r="F192" s="198"/>
    </row>
    <row r="193" spans="1:19">
      <c r="A193" s="198"/>
      <c r="B193" s="198"/>
      <c r="C193" s="198"/>
      <c r="D193" s="198"/>
      <c r="E193" s="198"/>
      <c r="F193" s="198"/>
    </row>
    <row r="194" spans="1:19">
      <c r="A194" s="198"/>
      <c r="B194" s="198"/>
      <c r="C194" s="198"/>
      <c r="D194" s="198"/>
      <c r="E194" s="198"/>
      <c r="F194" s="198"/>
    </row>
    <row r="195" spans="1:19">
      <c r="A195" s="198"/>
      <c r="B195" s="198"/>
      <c r="C195" s="198"/>
      <c r="D195" s="198"/>
      <c r="E195" s="198"/>
      <c r="F195" s="198"/>
    </row>
    <row r="196" spans="1:19">
      <c r="A196" s="198"/>
      <c r="B196" s="198"/>
      <c r="C196" s="198"/>
      <c r="D196" s="198"/>
      <c r="E196" s="198"/>
      <c r="F196" s="198"/>
    </row>
    <row r="197" spans="1:19">
      <c r="A197" s="198"/>
      <c r="B197" s="198"/>
      <c r="C197" s="198"/>
      <c r="D197" s="198"/>
      <c r="E197" s="198"/>
      <c r="F197" s="198"/>
    </row>
    <row r="198" spans="1:19">
      <c r="A198" s="198"/>
      <c r="B198" s="198"/>
      <c r="C198" s="198"/>
      <c r="D198" s="198"/>
      <c r="E198" s="198"/>
      <c r="F198" s="198"/>
    </row>
    <row r="199" spans="1:19">
      <c r="A199" s="198"/>
      <c r="B199" s="198"/>
      <c r="C199" s="198"/>
      <c r="D199" s="198"/>
      <c r="E199" s="198"/>
      <c r="F199" s="198"/>
    </row>
    <row r="200" spans="1:19" ht="39">
      <c r="A200" s="198"/>
      <c r="B200" s="155"/>
      <c r="C200" s="155"/>
      <c r="D200" s="155"/>
      <c r="E200" s="155"/>
      <c r="F200" s="198"/>
    </row>
    <row r="201" spans="1:19" ht="39">
      <c r="A201" s="198"/>
      <c r="B201" s="226" t="s">
        <v>273</v>
      </c>
      <c r="C201" s="155"/>
      <c r="D201" s="215" t="s">
        <v>274</v>
      </c>
      <c r="E201" s="215"/>
      <c r="F201" s="227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</row>
    <row r="202" spans="1:19" ht="39">
      <c r="A202" s="198"/>
      <c r="B202" s="223" t="s">
        <v>209</v>
      </c>
      <c r="C202" s="224"/>
      <c r="D202" s="459" t="s">
        <v>207</v>
      </c>
      <c r="E202" s="459"/>
      <c r="F202" s="459"/>
    </row>
    <row r="203" spans="1:19" ht="39">
      <c r="A203" s="198"/>
      <c r="B203" s="155"/>
      <c r="C203" s="155"/>
      <c r="D203" s="155"/>
      <c r="E203" s="155"/>
      <c r="F203" s="198"/>
    </row>
    <row r="204" spans="1:19" ht="39">
      <c r="A204" s="198"/>
      <c r="B204" s="155"/>
      <c r="C204" s="155"/>
      <c r="D204" s="155"/>
      <c r="E204" s="155"/>
      <c r="F204" s="198"/>
    </row>
    <row r="205" spans="1:19" ht="39">
      <c r="A205" s="198"/>
      <c r="B205" s="155"/>
      <c r="C205" s="155"/>
      <c r="D205" s="155"/>
      <c r="E205" s="155"/>
      <c r="F205" s="198"/>
    </row>
    <row r="206" spans="1:19" ht="39">
      <c r="A206" s="198"/>
      <c r="B206" s="155"/>
      <c r="C206" s="155"/>
      <c r="D206" s="155"/>
      <c r="E206" s="155"/>
      <c r="F206" s="198"/>
    </row>
    <row r="207" spans="1:19" ht="39">
      <c r="A207" s="198"/>
      <c r="B207" s="155"/>
      <c r="C207" s="155"/>
      <c r="D207" s="155"/>
      <c r="E207" s="155"/>
      <c r="F207" s="198"/>
    </row>
    <row r="208" spans="1:19" ht="39">
      <c r="A208" s="198"/>
      <c r="B208" s="155"/>
      <c r="C208" s="155"/>
      <c r="D208" s="155"/>
      <c r="E208" s="155"/>
      <c r="F208" s="198"/>
    </row>
    <row r="209" spans="1:6" ht="39">
      <c r="A209" s="198"/>
      <c r="B209" s="226" t="s">
        <v>273</v>
      </c>
      <c r="C209" s="215"/>
      <c r="D209" s="215" t="s">
        <v>274</v>
      </c>
      <c r="E209" s="215"/>
      <c r="F209" s="227"/>
    </row>
    <row r="210" spans="1:6" ht="39">
      <c r="A210" s="198"/>
      <c r="B210" s="223" t="s">
        <v>208</v>
      </c>
      <c r="C210" s="204"/>
      <c r="D210" s="477" t="s">
        <v>175</v>
      </c>
      <c r="E210" s="477"/>
      <c r="F210" s="198"/>
    </row>
    <row r="211" spans="1:6">
      <c r="A211" s="198"/>
      <c r="B211" s="198"/>
      <c r="C211" s="198"/>
      <c r="D211" s="198"/>
      <c r="E211" s="198"/>
      <c r="F211" s="198"/>
    </row>
    <row r="215" spans="1:6" s="244" customFormat="1"/>
    <row r="221" spans="1:6" ht="39">
      <c r="A221" s="460" t="s">
        <v>206</v>
      </c>
      <c r="B221" s="461"/>
      <c r="C221" s="461"/>
      <c r="D221" s="461"/>
      <c r="E221" s="461"/>
      <c r="F221" s="462"/>
    </row>
    <row r="222" spans="1:6" ht="39">
      <c r="A222" s="218" t="s">
        <v>167</v>
      </c>
      <c r="B222" s="218" t="s">
        <v>169</v>
      </c>
      <c r="C222" s="218" t="s">
        <v>170</v>
      </c>
      <c r="D222" s="218" t="s">
        <v>174</v>
      </c>
      <c r="E222" s="218" t="s">
        <v>171</v>
      </c>
      <c r="F222" s="218" t="s">
        <v>168</v>
      </c>
    </row>
    <row r="223" spans="1:6" ht="117">
      <c r="A223" s="256">
        <v>1</v>
      </c>
      <c r="B223" s="200"/>
      <c r="C223" s="256"/>
      <c r="D223" s="255"/>
      <c r="E223" s="203" t="s">
        <v>173</v>
      </c>
      <c r="F223" s="230">
        <v>0</v>
      </c>
    </row>
    <row r="224" spans="1:6" ht="117">
      <c r="A224" s="256">
        <v>2</v>
      </c>
      <c r="B224" s="200"/>
      <c r="C224" s="256"/>
      <c r="D224" s="255"/>
      <c r="E224" s="203" t="s">
        <v>173</v>
      </c>
      <c r="F224" s="230">
        <v>0</v>
      </c>
    </row>
    <row r="225" spans="1:6" ht="117">
      <c r="A225" s="256">
        <v>3</v>
      </c>
      <c r="B225" s="200"/>
      <c r="C225" s="256"/>
      <c r="D225" s="255"/>
      <c r="E225" s="203" t="s">
        <v>173</v>
      </c>
      <c r="F225" s="230">
        <v>0</v>
      </c>
    </row>
    <row r="226" spans="1:6" ht="117">
      <c r="A226" s="256">
        <v>4</v>
      </c>
      <c r="B226" s="200"/>
      <c r="C226" s="256"/>
      <c r="D226" s="255"/>
      <c r="E226" s="203" t="s">
        <v>173</v>
      </c>
      <c r="F226" s="230">
        <v>0</v>
      </c>
    </row>
    <row r="227" spans="1:6" ht="117">
      <c r="A227" s="256">
        <v>5</v>
      </c>
      <c r="B227" s="200"/>
      <c r="C227" s="256"/>
      <c r="D227" s="255"/>
      <c r="E227" s="203" t="s">
        <v>173</v>
      </c>
      <c r="F227" s="230">
        <v>0</v>
      </c>
    </row>
    <row r="228" spans="1:6" ht="117">
      <c r="A228" s="256">
        <v>6</v>
      </c>
      <c r="B228" s="200"/>
      <c r="C228" s="256"/>
      <c r="D228" s="255"/>
      <c r="E228" s="203" t="s">
        <v>173</v>
      </c>
      <c r="F228" s="230">
        <v>0</v>
      </c>
    </row>
    <row r="229" spans="1:6" ht="117">
      <c r="A229" s="256">
        <v>7</v>
      </c>
      <c r="B229" s="200"/>
      <c r="C229" s="256"/>
      <c r="D229" s="255"/>
      <c r="E229" s="203" t="s">
        <v>173</v>
      </c>
      <c r="F229" s="230">
        <v>0</v>
      </c>
    </row>
    <row r="230" spans="1:6" ht="117">
      <c r="A230" s="256">
        <v>8</v>
      </c>
      <c r="C230" s="256"/>
      <c r="D230" s="255"/>
      <c r="E230" s="203" t="s">
        <v>173</v>
      </c>
    </row>
    <row r="231" spans="1:6" ht="117">
      <c r="A231" s="256">
        <v>9</v>
      </c>
      <c r="C231" s="256"/>
      <c r="D231" s="255"/>
      <c r="E231" s="203" t="s">
        <v>173</v>
      </c>
    </row>
    <row r="232" spans="1:6" ht="117">
      <c r="A232" s="256">
        <v>10</v>
      </c>
      <c r="C232" s="256"/>
      <c r="D232" s="255"/>
      <c r="E232" s="203" t="s">
        <v>173</v>
      </c>
    </row>
    <row r="233" spans="1:6" ht="39">
      <c r="A233" s="258"/>
      <c r="B233" s="256" t="s">
        <v>172</v>
      </c>
      <c r="C233" s="256"/>
      <c r="D233" s="256"/>
      <c r="E233" s="256"/>
      <c r="F233" s="216">
        <f ca="1">SUM(F223:F251)</f>
        <v>29700</v>
      </c>
    </row>
    <row r="234" spans="1:6" ht="39">
      <c r="A234" s="257"/>
      <c r="B234" s="233" t="s">
        <v>273</v>
      </c>
      <c r="C234" s="257"/>
      <c r="D234" s="233" t="s">
        <v>273</v>
      </c>
      <c r="E234" s="257"/>
      <c r="F234" s="222"/>
    </row>
    <row r="235" spans="1:6" ht="39">
      <c r="A235" s="257"/>
      <c r="B235" s="228" t="s">
        <v>209</v>
      </c>
      <c r="C235" s="257"/>
      <c r="D235" s="228" t="s">
        <v>207</v>
      </c>
      <c r="E235" s="228"/>
      <c r="F235" s="228"/>
    </row>
    <row r="236" spans="1:6" ht="39">
      <c r="A236" s="257"/>
      <c r="B236" s="257" t="s">
        <v>254</v>
      </c>
      <c r="C236" s="257"/>
      <c r="D236" s="257"/>
      <c r="E236" s="257"/>
      <c r="F236" s="257"/>
    </row>
    <row r="237" spans="1:6" ht="39">
      <c r="A237" s="257"/>
      <c r="B237" s="233" t="s">
        <v>273</v>
      </c>
      <c r="C237" s="212"/>
      <c r="D237" s="233" t="s">
        <v>273</v>
      </c>
      <c r="E237" s="212"/>
      <c r="F237" s="212"/>
    </row>
    <row r="238" spans="1:6" ht="39">
      <c r="A238" s="257"/>
      <c r="B238" s="228" t="s">
        <v>208</v>
      </c>
      <c r="C238" s="257"/>
      <c r="D238" s="229" t="s">
        <v>175</v>
      </c>
      <c r="E238" s="229"/>
      <c r="F238" s="229"/>
    </row>
    <row r="239" spans="1:6" ht="39">
      <c r="A239" s="257"/>
      <c r="B239" s="257"/>
      <c r="C239" s="257"/>
      <c r="D239" s="257"/>
      <c r="E239" s="257"/>
      <c r="F239" s="222"/>
    </row>
    <row r="240" spans="1:6" ht="39">
      <c r="A240" s="257"/>
      <c r="B240" s="257"/>
      <c r="C240" s="257"/>
      <c r="D240" s="257"/>
      <c r="E240" s="257"/>
      <c r="F240" s="222"/>
    </row>
    <row r="241" spans="1:9" ht="39">
      <c r="A241" s="457" t="s">
        <v>294</v>
      </c>
      <c r="B241" s="457"/>
      <c r="C241" s="457"/>
      <c r="D241" s="457"/>
      <c r="E241" s="457"/>
      <c r="F241" s="457"/>
    </row>
    <row r="242" spans="1:9" ht="39">
      <c r="A242" s="218" t="s">
        <v>167</v>
      </c>
      <c r="B242" s="218" t="s">
        <v>169</v>
      </c>
      <c r="C242" s="218" t="s">
        <v>170</v>
      </c>
      <c r="D242" s="218" t="s">
        <v>174</v>
      </c>
      <c r="E242" s="218" t="s">
        <v>171</v>
      </c>
      <c r="F242" s="218" t="s">
        <v>168</v>
      </c>
    </row>
    <row r="243" spans="1:9" ht="156">
      <c r="A243" s="256">
        <v>1</v>
      </c>
      <c r="B243" s="200" t="s">
        <v>284</v>
      </c>
      <c r="C243" s="256"/>
      <c r="D243" s="255"/>
      <c r="E243" s="203" t="s">
        <v>173</v>
      </c>
      <c r="F243" s="230">
        <v>14400</v>
      </c>
    </row>
    <row r="244" spans="1:9" ht="156">
      <c r="A244" s="256">
        <v>2</v>
      </c>
      <c r="B244" s="200" t="s">
        <v>285</v>
      </c>
      <c r="C244" s="256"/>
      <c r="D244" s="255"/>
      <c r="E244" s="203" t="s">
        <v>173</v>
      </c>
      <c r="F244" s="230">
        <v>9600</v>
      </c>
    </row>
    <row r="245" spans="1:9" ht="156">
      <c r="A245" s="256">
        <v>3</v>
      </c>
      <c r="B245" s="200" t="s">
        <v>286</v>
      </c>
      <c r="C245" s="256"/>
      <c r="D245" s="255"/>
      <c r="E245" s="203" t="s">
        <v>173</v>
      </c>
      <c r="F245" s="216">
        <v>14400</v>
      </c>
    </row>
    <row r="246" spans="1:9" ht="156">
      <c r="A246" s="256">
        <v>4</v>
      </c>
      <c r="B246" s="200" t="s">
        <v>289</v>
      </c>
      <c r="C246" s="256"/>
      <c r="D246" s="255"/>
      <c r="E246" s="203" t="s">
        <v>173</v>
      </c>
      <c r="F246" s="216">
        <v>28800</v>
      </c>
    </row>
    <row r="247" spans="1:9" ht="156">
      <c r="A247" s="256">
        <v>5</v>
      </c>
      <c r="B247" s="200" t="s">
        <v>290</v>
      </c>
      <c r="C247" s="256"/>
      <c r="D247" s="255"/>
      <c r="E247" s="203" t="s">
        <v>173</v>
      </c>
      <c r="F247" s="216">
        <v>29400</v>
      </c>
    </row>
    <row r="248" spans="1:9" ht="156">
      <c r="A248" s="256">
        <v>6</v>
      </c>
      <c r="B248" s="200" t="s">
        <v>291</v>
      </c>
      <c r="C248" s="256"/>
      <c r="D248" s="255"/>
      <c r="E248" s="203" t="s">
        <v>173</v>
      </c>
      <c r="F248" s="216">
        <v>38400</v>
      </c>
    </row>
    <row r="249" spans="1:9" ht="156">
      <c r="A249" s="256">
        <v>7</v>
      </c>
      <c r="B249" s="200" t="s">
        <v>292</v>
      </c>
      <c r="C249" s="256"/>
      <c r="D249" s="255"/>
      <c r="E249" s="203" t="s">
        <v>173</v>
      </c>
      <c r="F249" s="216">
        <v>19200</v>
      </c>
    </row>
    <row r="250" spans="1:9" ht="156">
      <c r="A250" s="256">
        <v>8</v>
      </c>
      <c r="B250" s="200" t="s">
        <v>293</v>
      </c>
      <c r="C250" s="256"/>
      <c r="D250" s="255"/>
      <c r="E250" s="203" t="s">
        <v>173</v>
      </c>
      <c r="F250" s="216">
        <v>19200</v>
      </c>
    </row>
    <row r="251" spans="1:9" ht="156">
      <c r="A251" s="256">
        <v>9</v>
      </c>
      <c r="B251" s="200" t="s">
        <v>287</v>
      </c>
      <c r="C251" s="256"/>
      <c r="D251" s="255"/>
      <c r="E251" s="203" t="s">
        <v>173</v>
      </c>
      <c r="F251" s="216">
        <v>29700</v>
      </c>
    </row>
    <row r="252" spans="1:9" ht="156">
      <c r="A252" s="256">
        <v>10</v>
      </c>
      <c r="B252" s="200" t="s">
        <v>288</v>
      </c>
      <c r="C252" s="256"/>
      <c r="D252" s="255"/>
      <c r="E252" s="203" t="s">
        <v>173</v>
      </c>
      <c r="F252" s="216">
        <v>44100</v>
      </c>
    </row>
    <row r="253" spans="1:9" ht="39">
      <c r="A253" s="134"/>
      <c r="B253" s="255" t="s">
        <v>172</v>
      </c>
      <c r="C253" s="247"/>
      <c r="D253" s="247"/>
      <c r="E253" s="247"/>
      <c r="F253" s="219">
        <f>SUM(F243:F252)</f>
        <v>247200</v>
      </c>
    </row>
    <row r="254" spans="1:9" s="258" customFormat="1" ht="39">
      <c r="B254" s="206"/>
      <c r="C254" s="262"/>
      <c r="D254" s="262"/>
      <c r="E254" s="262"/>
      <c r="F254" s="232"/>
    </row>
    <row r="255" spans="1:9" ht="39">
      <c r="A255" s="257"/>
      <c r="B255" s="233" t="s">
        <v>273</v>
      </c>
      <c r="C255" s="257"/>
      <c r="D255" s="233" t="s">
        <v>273</v>
      </c>
      <c r="E255" s="257"/>
      <c r="F255" s="222"/>
      <c r="G255" s="258"/>
      <c r="H255" s="258"/>
      <c r="I255" s="258"/>
    </row>
    <row r="256" spans="1:9" ht="39">
      <c r="A256" s="257"/>
      <c r="B256" s="228" t="s">
        <v>209</v>
      </c>
      <c r="C256" s="257"/>
      <c r="D256" s="228" t="s">
        <v>207</v>
      </c>
      <c r="E256" s="228"/>
      <c r="F256" s="228"/>
      <c r="G256" s="258"/>
      <c r="H256" s="258"/>
      <c r="I256" s="258"/>
    </row>
    <row r="257" spans="1:9" ht="39">
      <c r="A257" s="257"/>
      <c r="B257" s="257" t="s">
        <v>254</v>
      </c>
      <c r="C257" s="257"/>
      <c r="D257" s="257"/>
      <c r="E257" s="257"/>
      <c r="F257" s="257"/>
      <c r="G257" s="258"/>
      <c r="H257" s="258"/>
      <c r="I257" s="258"/>
    </row>
    <row r="258" spans="1:9" ht="39">
      <c r="A258" s="257"/>
      <c r="B258" s="233" t="s">
        <v>273</v>
      </c>
      <c r="C258" s="212"/>
      <c r="D258" s="233" t="s">
        <v>273</v>
      </c>
      <c r="E258" s="212"/>
      <c r="F258" s="212"/>
      <c r="G258" s="258"/>
      <c r="H258" s="258"/>
      <c r="I258" s="258"/>
    </row>
    <row r="259" spans="1:9" ht="39">
      <c r="A259" s="257"/>
      <c r="B259" s="228" t="s">
        <v>208</v>
      </c>
      <c r="C259" s="257"/>
      <c r="D259" s="229" t="s">
        <v>175</v>
      </c>
      <c r="E259" s="229"/>
      <c r="F259" s="229"/>
      <c r="G259" s="258"/>
      <c r="H259" s="258"/>
      <c r="I259" s="258"/>
    </row>
    <row r="260" spans="1:9" ht="39">
      <c r="A260" s="257"/>
      <c r="B260" s="257"/>
      <c r="C260" s="257"/>
      <c r="D260" s="257"/>
      <c r="E260" s="257"/>
      <c r="F260" s="222"/>
      <c r="G260" s="258"/>
      <c r="H260" s="258"/>
      <c r="I260" s="258"/>
    </row>
    <row r="269" spans="1:9" ht="39">
      <c r="A269" s="470" t="s">
        <v>295</v>
      </c>
      <c r="B269" s="470"/>
      <c r="C269" s="470"/>
      <c r="D269" s="470"/>
      <c r="E269" s="470"/>
      <c r="F269" s="470"/>
    </row>
    <row r="270" spans="1:9" ht="78">
      <c r="A270" s="263" t="s">
        <v>167</v>
      </c>
      <c r="B270" s="263" t="s">
        <v>169</v>
      </c>
      <c r="C270" s="263" t="s">
        <v>170</v>
      </c>
      <c r="D270" s="263" t="s">
        <v>174</v>
      </c>
      <c r="E270" s="263" t="s">
        <v>171</v>
      </c>
      <c r="F270" s="263" t="s">
        <v>168</v>
      </c>
    </row>
    <row r="271" spans="1:9" ht="156">
      <c r="A271" s="221">
        <v>1</v>
      </c>
      <c r="B271" s="200" t="s">
        <v>296</v>
      </c>
      <c r="C271" s="221"/>
      <c r="D271" s="203"/>
      <c r="E271" s="203" t="s">
        <v>173</v>
      </c>
      <c r="F271" s="264">
        <v>14400</v>
      </c>
    </row>
    <row r="272" spans="1:9" ht="156">
      <c r="A272" s="221">
        <v>2</v>
      </c>
      <c r="B272" s="200" t="s">
        <v>297</v>
      </c>
      <c r="C272" s="221"/>
      <c r="D272" s="203"/>
      <c r="E272" s="203" t="s">
        <v>173</v>
      </c>
      <c r="F272" s="264">
        <v>9600</v>
      </c>
    </row>
    <row r="273" spans="1:6" ht="156">
      <c r="A273" s="221">
        <v>3</v>
      </c>
      <c r="B273" s="200" t="s">
        <v>298</v>
      </c>
      <c r="C273" s="221"/>
      <c r="D273" s="203"/>
      <c r="E273" s="203" t="s">
        <v>173</v>
      </c>
      <c r="F273" s="265">
        <v>14400</v>
      </c>
    </row>
    <row r="274" spans="1:6" ht="156">
      <c r="A274" s="221">
        <v>4</v>
      </c>
      <c r="B274" s="200" t="s">
        <v>299</v>
      </c>
      <c r="C274" s="221"/>
      <c r="D274" s="203"/>
      <c r="E274" s="203" t="s">
        <v>173</v>
      </c>
      <c r="F274" s="265">
        <v>28800</v>
      </c>
    </row>
    <row r="275" spans="1:6" ht="156">
      <c r="A275" s="221">
        <v>5</v>
      </c>
      <c r="B275" s="200" t="s">
        <v>300</v>
      </c>
      <c r="C275" s="221"/>
      <c r="D275" s="203"/>
      <c r="E275" s="203" t="s">
        <v>173</v>
      </c>
      <c r="F275" s="265">
        <v>29400</v>
      </c>
    </row>
    <row r="276" spans="1:6" ht="156">
      <c r="A276" s="221">
        <v>6</v>
      </c>
      <c r="B276" s="200" t="s">
        <v>301</v>
      </c>
      <c r="C276" s="221"/>
      <c r="D276" s="203"/>
      <c r="E276" s="203" t="s">
        <v>173</v>
      </c>
      <c r="F276" s="265">
        <v>38400</v>
      </c>
    </row>
    <row r="277" spans="1:6" ht="156">
      <c r="A277" s="221">
        <v>7</v>
      </c>
      <c r="B277" s="200" t="s">
        <v>302</v>
      </c>
      <c r="C277" s="221"/>
      <c r="D277" s="203"/>
      <c r="E277" s="203" t="s">
        <v>173</v>
      </c>
      <c r="F277" s="265">
        <v>19200</v>
      </c>
    </row>
    <row r="278" spans="1:6" ht="156">
      <c r="A278" s="221">
        <v>8</v>
      </c>
      <c r="B278" s="200" t="s">
        <v>303</v>
      </c>
      <c r="C278" s="221"/>
      <c r="D278" s="203"/>
      <c r="E278" s="203" t="s">
        <v>173</v>
      </c>
      <c r="F278" s="265">
        <v>19200</v>
      </c>
    </row>
    <row r="279" spans="1:6" ht="156">
      <c r="A279" s="221">
        <v>9</v>
      </c>
      <c r="B279" s="200" t="s">
        <v>304</v>
      </c>
      <c r="C279" s="221"/>
      <c r="D279" s="203"/>
      <c r="E279" s="203" t="s">
        <v>173</v>
      </c>
      <c r="F279" s="265">
        <v>29700</v>
      </c>
    </row>
    <row r="280" spans="1:6" ht="156">
      <c r="A280" s="221">
        <v>10</v>
      </c>
      <c r="B280" s="200" t="s">
        <v>305</v>
      </c>
      <c r="C280" s="221"/>
      <c r="D280" s="203"/>
      <c r="E280" s="203" t="s">
        <v>173</v>
      </c>
      <c r="F280" s="265">
        <v>44100</v>
      </c>
    </row>
    <row r="281" spans="1:6" ht="39">
      <c r="A281" s="134"/>
      <c r="B281" s="255" t="s">
        <v>172</v>
      </c>
      <c r="C281" s="247"/>
      <c r="D281" s="247"/>
      <c r="E281" s="247"/>
      <c r="F281" s="219">
        <f>SUM(F271:F280)</f>
        <v>247200</v>
      </c>
    </row>
    <row r="282" spans="1:6" ht="39">
      <c r="A282" s="258"/>
      <c r="B282" s="206"/>
      <c r="C282" s="262"/>
      <c r="D282" s="262"/>
      <c r="E282" s="262"/>
      <c r="F282" s="232"/>
    </row>
    <row r="283" spans="1:6" ht="39">
      <c r="A283" s="257"/>
      <c r="B283" s="233" t="s">
        <v>273</v>
      </c>
      <c r="C283" s="257"/>
      <c r="D283" s="233" t="s">
        <v>273</v>
      </c>
      <c r="E283" s="257"/>
      <c r="F283" s="222"/>
    </row>
    <row r="284" spans="1:6" ht="39">
      <c r="A284" s="257"/>
      <c r="B284" s="228" t="s">
        <v>209</v>
      </c>
      <c r="C284" s="257"/>
      <c r="D284" s="228" t="s">
        <v>207</v>
      </c>
      <c r="E284" s="228"/>
      <c r="F284" s="228"/>
    </row>
    <row r="285" spans="1:6" ht="39">
      <c r="A285" s="257"/>
      <c r="B285" s="257" t="s">
        <v>254</v>
      </c>
      <c r="C285" s="257"/>
      <c r="D285" s="257"/>
      <c r="E285" s="257"/>
      <c r="F285" s="257"/>
    </row>
    <row r="286" spans="1:6" ht="39">
      <c r="A286" s="257"/>
      <c r="B286" s="233" t="s">
        <v>273</v>
      </c>
      <c r="C286" s="212"/>
      <c r="D286" s="233" t="s">
        <v>273</v>
      </c>
      <c r="E286" s="212"/>
      <c r="F286" s="212"/>
    </row>
    <row r="287" spans="1:6" ht="39">
      <c r="A287" s="257"/>
      <c r="B287" s="228" t="s">
        <v>208</v>
      </c>
      <c r="C287" s="257"/>
      <c r="D287" s="229" t="s">
        <v>175</v>
      </c>
      <c r="E287" s="229"/>
      <c r="F287" s="229"/>
    </row>
    <row r="288" spans="1:6" ht="39">
      <c r="A288" s="257"/>
      <c r="B288" s="257"/>
      <c r="C288" s="257"/>
      <c r="D288" s="257"/>
      <c r="E288" s="257"/>
      <c r="F288" s="222"/>
    </row>
  </sheetData>
  <mergeCells count="34">
    <mergeCell ref="D123:E123"/>
    <mergeCell ref="A191:E191"/>
    <mergeCell ref="D210:E210"/>
    <mergeCell ref="C159:F159"/>
    <mergeCell ref="D166:E166"/>
    <mergeCell ref="D167:E167"/>
    <mergeCell ref="D174:E174"/>
    <mergeCell ref="D175:E175"/>
    <mergeCell ref="A179:F179"/>
    <mergeCell ref="D202:F202"/>
    <mergeCell ref="A1:F1"/>
    <mergeCell ref="A39:F39"/>
    <mergeCell ref="D25:E25"/>
    <mergeCell ref="D26:E26"/>
    <mergeCell ref="D32:E32"/>
    <mergeCell ref="D33:E33"/>
    <mergeCell ref="A2:F2"/>
    <mergeCell ref="A19:E19"/>
    <mergeCell ref="A221:F221"/>
    <mergeCell ref="A241:F241"/>
    <mergeCell ref="A269:F269"/>
    <mergeCell ref="A56:E56"/>
    <mergeCell ref="D63:E63"/>
    <mergeCell ref="D70:E70"/>
    <mergeCell ref="D71:E71"/>
    <mergeCell ref="D64:E64"/>
    <mergeCell ref="A103:F103"/>
    <mergeCell ref="A83:F83"/>
    <mergeCell ref="A158:E158"/>
    <mergeCell ref="D131:E131"/>
    <mergeCell ref="D130:E130"/>
    <mergeCell ref="A146:F146"/>
    <mergeCell ref="A116:E116"/>
    <mergeCell ref="D122:E122"/>
  </mergeCells>
  <pageMargins left="0.7" right="0.7" top="0.75" bottom="0.75" header="0.3" footer="0.3"/>
  <pageSetup paperSize="9" scale="30" orientation="portrait" r:id="rId1"/>
  <rowBreaks count="2" manualBreakCount="2">
    <brk id="14" max="5" man="1"/>
    <brk id="46" max="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0"/>
  <sheetViews>
    <sheetView view="pageBreakPreview" zoomScale="55" zoomScaleNormal="100" zoomScaleSheetLayoutView="55" workbookViewId="0">
      <pane xSplit="6" ySplit="3" topLeftCell="G76" activePane="bottomRight" state="frozen"/>
      <selection pane="topRight" activeCell="F1" sqref="F1"/>
      <selection pane="bottomLeft" activeCell="A4" sqref="A4"/>
      <selection pane="bottomRight" activeCell="B6" sqref="B6"/>
    </sheetView>
  </sheetViews>
  <sheetFormatPr defaultColWidth="8.85546875" defaultRowHeight="15"/>
  <cols>
    <col min="1" max="1" width="7.28515625" style="41" customWidth="1"/>
    <col min="2" max="2" width="11.42578125" style="16" customWidth="1"/>
    <col min="3" max="3" width="27.5703125" style="16" bestFit="1" customWidth="1"/>
    <col min="4" max="4" width="15.7109375" style="16" customWidth="1"/>
    <col min="5" max="5" width="51.7109375" style="16" bestFit="1" customWidth="1"/>
    <col min="6" max="6" width="15.7109375" style="16" bestFit="1" customWidth="1"/>
    <col min="7" max="7" width="40.5703125" style="16" bestFit="1" customWidth="1"/>
    <col min="8" max="8" width="52.7109375" style="16" bestFit="1" customWidth="1"/>
    <col min="9" max="9" width="69.42578125" style="80" bestFit="1" customWidth="1"/>
    <col min="10" max="10" width="19.7109375" style="37" customWidth="1"/>
    <col min="11" max="11" width="32.7109375" style="4" bestFit="1" customWidth="1"/>
    <col min="12" max="12" width="64.140625" style="4" bestFit="1" customWidth="1"/>
    <col min="13" max="13" width="64.140625" style="4" customWidth="1"/>
    <col min="14" max="17" width="20.7109375" style="4" customWidth="1"/>
    <col min="18" max="18" width="68.42578125" style="4" bestFit="1" customWidth="1"/>
    <col min="19" max="19" width="22.140625" style="4" customWidth="1"/>
    <col min="20" max="20" width="60.85546875" style="4" bestFit="1" customWidth="1"/>
    <col min="21" max="21" width="60.85546875" style="16" bestFit="1" customWidth="1"/>
    <col min="22" max="22" width="21" style="34" customWidth="1"/>
    <col min="23" max="23" width="56.5703125" style="16" bestFit="1" customWidth="1"/>
    <col min="24" max="24" width="28.42578125" style="16" customWidth="1"/>
    <col min="25" max="25" width="63.7109375" style="16" bestFit="1" customWidth="1"/>
    <col min="26" max="16384" width="8.85546875" style="16"/>
  </cols>
  <sheetData>
    <row r="1" spans="1:25" ht="15.75" thickBot="1">
      <c r="C1" s="505"/>
      <c r="D1" s="505"/>
      <c r="E1" s="505"/>
      <c r="F1" s="505"/>
      <c r="G1" s="505"/>
      <c r="H1" s="505"/>
      <c r="I1" s="505"/>
      <c r="J1" s="505"/>
      <c r="K1" s="505"/>
      <c r="L1" s="37"/>
      <c r="M1" s="147"/>
      <c r="N1" s="147"/>
      <c r="O1" s="147"/>
      <c r="P1" s="147"/>
      <c r="Q1" s="147"/>
      <c r="R1" s="34"/>
      <c r="S1" s="37"/>
      <c r="T1" s="37"/>
    </row>
    <row r="2" spans="1:25" s="48" customFormat="1" ht="33" thickTop="1" thickBot="1">
      <c r="A2" s="502" t="s">
        <v>155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4"/>
      <c r="S2" s="502" t="s">
        <v>156</v>
      </c>
      <c r="T2" s="503"/>
      <c r="U2" s="503"/>
      <c r="V2" s="503"/>
      <c r="W2" s="503"/>
      <c r="X2" s="503"/>
      <c r="Y2" s="504"/>
    </row>
    <row r="3" spans="1:25" s="48" customFormat="1" ht="94.5" thickTop="1" thickBot="1">
      <c r="B3" s="75" t="s">
        <v>67</v>
      </c>
      <c r="C3" s="76" t="s">
        <v>103</v>
      </c>
      <c r="D3" s="77" t="s">
        <v>1</v>
      </c>
      <c r="E3" s="75" t="s">
        <v>46</v>
      </c>
      <c r="F3" s="77" t="s">
        <v>2</v>
      </c>
      <c r="G3" s="78" t="s">
        <v>109</v>
      </c>
      <c r="H3" s="79" t="s">
        <v>111</v>
      </c>
      <c r="I3" s="79" t="s">
        <v>157</v>
      </c>
      <c r="J3" s="79" t="s">
        <v>85</v>
      </c>
      <c r="K3" s="79" t="s">
        <v>80</v>
      </c>
      <c r="L3" s="79" t="s">
        <v>90</v>
      </c>
      <c r="M3" s="79" t="s">
        <v>79</v>
      </c>
      <c r="N3" s="79" t="s">
        <v>216</v>
      </c>
      <c r="O3" s="79" t="s">
        <v>220</v>
      </c>
      <c r="P3" s="79" t="s">
        <v>221</v>
      </c>
      <c r="Q3" s="79" t="s">
        <v>222</v>
      </c>
      <c r="R3" s="79" t="s">
        <v>79</v>
      </c>
      <c r="S3" s="46" t="s">
        <v>86</v>
      </c>
      <c r="T3" s="46" t="s">
        <v>78</v>
      </c>
      <c r="U3" s="46" t="s">
        <v>87</v>
      </c>
      <c r="V3" s="46" t="s">
        <v>84</v>
      </c>
      <c r="W3" s="46" t="s">
        <v>76</v>
      </c>
      <c r="X3" s="45" t="s">
        <v>74</v>
      </c>
      <c r="Y3" s="47" t="s">
        <v>77</v>
      </c>
    </row>
    <row r="4" spans="1:25" s="44" customFormat="1" ht="99.6" customHeight="1" thickTop="1">
      <c r="B4" s="49">
        <v>1</v>
      </c>
      <c r="C4" s="50" t="s">
        <v>8</v>
      </c>
      <c r="D4" s="50" t="s">
        <v>112</v>
      </c>
      <c r="E4" s="50" t="s">
        <v>16</v>
      </c>
      <c r="F4" s="51">
        <v>96</v>
      </c>
      <c r="G4" s="52">
        <v>56800</v>
      </c>
      <c r="H4" s="52">
        <v>43200</v>
      </c>
      <c r="I4" s="52">
        <f>SUM(G4:H4)</f>
        <v>100000</v>
      </c>
      <c r="J4" s="52"/>
      <c r="K4" s="52">
        <v>0</v>
      </c>
      <c r="L4" s="52">
        <v>14400</v>
      </c>
      <c r="M4" s="52" t="e">
        <f>C4-E4-F4-G4</f>
        <v>#VALUE!</v>
      </c>
      <c r="N4" s="52">
        <v>14400</v>
      </c>
      <c r="O4" s="52">
        <v>14400</v>
      </c>
      <c r="P4" s="52">
        <v>14400</v>
      </c>
      <c r="Q4" s="52">
        <v>14400</v>
      </c>
      <c r="R4" s="52">
        <f>H4-J4-K4-L4</f>
        <v>28800</v>
      </c>
      <c r="S4" s="52"/>
      <c r="T4" s="52"/>
      <c r="U4" s="52">
        <v>14400</v>
      </c>
      <c r="V4" s="52">
        <v>0</v>
      </c>
      <c r="W4" s="52">
        <f>S4+T4+U4-V4</f>
        <v>14400</v>
      </c>
      <c r="X4" s="53" t="s">
        <v>75</v>
      </c>
      <c r="Y4" s="54" t="s">
        <v>223</v>
      </c>
    </row>
    <row r="5" spans="1:25" s="44" customFormat="1" ht="139.5">
      <c r="B5" s="55">
        <v>2</v>
      </c>
      <c r="C5" s="56" t="s">
        <v>3</v>
      </c>
      <c r="D5" s="56" t="s">
        <v>44</v>
      </c>
      <c r="E5" s="56" t="s">
        <v>12</v>
      </c>
      <c r="F5" s="57">
        <v>171.5</v>
      </c>
      <c r="G5" s="58">
        <v>0</v>
      </c>
      <c r="H5" s="58">
        <v>0</v>
      </c>
      <c r="I5" s="82">
        <f t="shared" ref="I5:I41" si="0">SUM(G5:H5)</f>
        <v>0</v>
      </c>
      <c r="J5" s="58">
        <v>34400</v>
      </c>
      <c r="K5" s="58">
        <v>34400</v>
      </c>
      <c r="L5" s="148">
        <v>34400</v>
      </c>
      <c r="M5" s="148"/>
      <c r="N5" s="148"/>
      <c r="O5" s="148"/>
      <c r="P5" s="148"/>
      <c r="Q5" s="148"/>
      <c r="R5" s="58"/>
      <c r="S5" s="58">
        <v>34400</v>
      </c>
      <c r="T5" s="58">
        <v>34400</v>
      </c>
      <c r="U5" s="58">
        <v>34400</v>
      </c>
      <c r="V5" s="58">
        <f>S5+T5+U5</f>
        <v>103200</v>
      </c>
      <c r="W5" s="58">
        <f>S5+T5+U5-V5</f>
        <v>0</v>
      </c>
      <c r="X5" s="59" t="s">
        <v>93</v>
      </c>
      <c r="Y5" s="60" t="s">
        <v>94</v>
      </c>
    </row>
    <row r="6" spans="1:25" s="44" customFormat="1" ht="139.5">
      <c r="B6" s="55">
        <v>3</v>
      </c>
      <c r="C6" s="56" t="s">
        <v>6</v>
      </c>
      <c r="D6" s="56" t="s">
        <v>68</v>
      </c>
      <c r="E6" s="56" t="s">
        <v>13</v>
      </c>
      <c r="F6" s="57">
        <v>147</v>
      </c>
      <c r="G6" s="58">
        <v>0</v>
      </c>
      <c r="H6" s="58">
        <v>0</v>
      </c>
      <c r="I6" s="82">
        <f t="shared" si="0"/>
        <v>0</v>
      </c>
      <c r="J6" s="58">
        <f>157*147</f>
        <v>23079</v>
      </c>
      <c r="K6" s="58">
        <v>23079</v>
      </c>
      <c r="L6" s="148">
        <v>23079</v>
      </c>
      <c r="M6" s="148"/>
      <c r="N6" s="148"/>
      <c r="O6" s="148"/>
      <c r="P6" s="148"/>
      <c r="Q6" s="148"/>
      <c r="R6" s="58"/>
      <c r="S6" s="58">
        <v>23079</v>
      </c>
      <c r="T6" s="58">
        <v>23079</v>
      </c>
      <c r="U6" s="58">
        <v>23079</v>
      </c>
      <c r="V6" s="58">
        <f>S6+T6+U6</f>
        <v>69237</v>
      </c>
      <c r="W6" s="58">
        <f>S6+T6+U6-V6</f>
        <v>0</v>
      </c>
      <c r="X6" s="59" t="s">
        <v>93</v>
      </c>
      <c r="Y6" s="60" t="s">
        <v>95</v>
      </c>
    </row>
    <row r="7" spans="1:25" s="44" customFormat="1" ht="54.6" customHeight="1">
      <c r="B7" s="496">
        <v>4</v>
      </c>
      <c r="C7" s="484" t="s">
        <v>107</v>
      </c>
      <c r="D7" s="56" t="s">
        <v>113</v>
      </c>
      <c r="E7" s="56" t="s">
        <v>13</v>
      </c>
      <c r="F7" s="57">
        <v>99</v>
      </c>
      <c r="G7" s="490">
        <v>29400</v>
      </c>
      <c r="H7" s="490">
        <v>29400</v>
      </c>
      <c r="I7" s="492">
        <f>G7+H7</f>
        <v>58800</v>
      </c>
      <c r="J7" s="490">
        <v>29400</v>
      </c>
      <c r="K7" s="490">
        <v>29400</v>
      </c>
      <c r="L7" s="492">
        <v>29400</v>
      </c>
      <c r="M7" s="490">
        <v>29400</v>
      </c>
      <c r="N7" s="148"/>
      <c r="O7" s="148"/>
      <c r="P7" s="148"/>
      <c r="Q7" s="148"/>
      <c r="R7" s="490">
        <v>29400</v>
      </c>
      <c r="S7" s="490">
        <v>29400</v>
      </c>
      <c r="T7" s="490">
        <v>29400</v>
      </c>
      <c r="U7" s="490">
        <v>29400</v>
      </c>
      <c r="V7" s="490">
        <f>S7+T7+U7</f>
        <v>88200</v>
      </c>
      <c r="W7" s="490">
        <f>T7+S7+U7-V7</f>
        <v>0</v>
      </c>
      <c r="X7" s="484" t="s">
        <v>96</v>
      </c>
      <c r="Y7" s="487" t="s">
        <v>95</v>
      </c>
    </row>
    <row r="8" spans="1:25" s="44" customFormat="1" ht="82.15" customHeight="1">
      <c r="B8" s="496"/>
      <c r="C8" s="485"/>
      <c r="D8" s="56" t="s">
        <v>114</v>
      </c>
      <c r="E8" s="56" t="s">
        <v>13</v>
      </c>
      <c r="F8" s="57">
        <v>96</v>
      </c>
      <c r="G8" s="490"/>
      <c r="H8" s="490"/>
      <c r="I8" s="494"/>
      <c r="J8" s="490"/>
      <c r="K8" s="490"/>
      <c r="L8" s="494"/>
      <c r="M8" s="490"/>
      <c r="N8" s="148"/>
      <c r="O8" s="148"/>
      <c r="P8" s="148"/>
      <c r="Q8" s="148"/>
      <c r="R8" s="490"/>
      <c r="S8" s="490"/>
      <c r="T8" s="490"/>
      <c r="U8" s="490"/>
      <c r="V8" s="490"/>
      <c r="W8" s="490"/>
      <c r="X8" s="484"/>
      <c r="Y8" s="487"/>
    </row>
    <row r="9" spans="1:25" s="44" customFormat="1" ht="29.45" customHeight="1">
      <c r="B9" s="496">
        <v>5</v>
      </c>
      <c r="C9" s="485" t="s">
        <v>7</v>
      </c>
      <c r="D9" s="56" t="s">
        <v>115</v>
      </c>
      <c r="E9" s="56" t="s">
        <v>14</v>
      </c>
      <c r="F9" s="57">
        <v>96</v>
      </c>
      <c r="G9" s="490">
        <v>58800</v>
      </c>
      <c r="H9" s="490">
        <v>58800</v>
      </c>
      <c r="I9" s="492">
        <f>SUM(G9:H10)</f>
        <v>117600</v>
      </c>
      <c r="J9" s="490">
        <v>0</v>
      </c>
      <c r="K9" s="490">
        <v>29400</v>
      </c>
      <c r="L9" s="492">
        <v>29400</v>
      </c>
      <c r="M9" s="490">
        <v>58800</v>
      </c>
      <c r="N9" s="148"/>
      <c r="O9" s="148"/>
      <c r="P9" s="148"/>
      <c r="Q9" s="148"/>
      <c r="R9" s="490">
        <v>58800</v>
      </c>
      <c r="S9" s="58">
        <v>0</v>
      </c>
      <c r="T9" s="58">
        <f>29400/2</f>
        <v>14700</v>
      </c>
      <c r="U9" s="58">
        <f>29400/2</f>
        <v>14700</v>
      </c>
      <c r="V9" s="58">
        <v>0</v>
      </c>
      <c r="W9" s="58">
        <f>T9+U9-V9</f>
        <v>29400</v>
      </c>
      <c r="X9" s="491" t="s">
        <v>73</v>
      </c>
      <c r="Y9" s="487" t="s">
        <v>224</v>
      </c>
    </row>
    <row r="10" spans="1:25" s="44" customFormat="1" ht="37.9" customHeight="1">
      <c r="B10" s="496"/>
      <c r="C10" s="485"/>
      <c r="D10" s="56" t="s">
        <v>116</v>
      </c>
      <c r="E10" s="56" t="s">
        <v>15</v>
      </c>
      <c r="F10" s="57">
        <v>96</v>
      </c>
      <c r="G10" s="490"/>
      <c r="H10" s="490"/>
      <c r="I10" s="494"/>
      <c r="J10" s="490"/>
      <c r="K10" s="490"/>
      <c r="L10" s="494"/>
      <c r="M10" s="490"/>
      <c r="N10" s="148"/>
      <c r="O10" s="148"/>
      <c r="P10" s="148"/>
      <c r="Q10" s="148"/>
      <c r="R10" s="490"/>
      <c r="S10" s="58">
        <v>0</v>
      </c>
      <c r="T10" s="58">
        <f>29400/2</f>
        <v>14700</v>
      </c>
      <c r="U10" s="58">
        <f>29400/2</f>
        <v>14700</v>
      </c>
      <c r="V10" s="58">
        <v>0</v>
      </c>
      <c r="W10" s="58">
        <f>T10+U10-V10</f>
        <v>29400</v>
      </c>
      <c r="X10" s="491"/>
      <c r="Y10" s="487"/>
    </row>
    <row r="11" spans="1:25" s="44" customFormat="1" ht="23.25">
      <c r="B11" s="496">
        <v>6</v>
      </c>
      <c r="C11" s="485" t="s">
        <v>5</v>
      </c>
      <c r="D11" s="56" t="s">
        <v>102</v>
      </c>
      <c r="E11" s="56" t="s">
        <v>23</v>
      </c>
      <c r="F11" s="57">
        <v>96</v>
      </c>
      <c r="G11" s="490">
        <v>474120</v>
      </c>
      <c r="H11" s="490">
        <v>158040</v>
      </c>
      <c r="I11" s="492">
        <f>SUM(G11:H17)</f>
        <v>632160</v>
      </c>
      <c r="J11" s="58"/>
      <c r="K11" s="58">
        <f>F11*180</f>
        <v>17280</v>
      </c>
      <c r="L11" s="148">
        <f t="shared" ref="L11:L17" si="1">F11*180</f>
        <v>17280</v>
      </c>
      <c r="M11" s="492">
        <v>0</v>
      </c>
      <c r="N11" s="149"/>
      <c r="O11" s="149"/>
      <c r="P11" s="149"/>
      <c r="Q11" s="149"/>
      <c r="R11" s="492">
        <v>0</v>
      </c>
      <c r="S11" s="58"/>
      <c r="T11" s="58"/>
      <c r="U11" s="58">
        <v>17280</v>
      </c>
      <c r="V11" s="58"/>
      <c r="W11" s="58">
        <f>S11+T11+U11-V11</f>
        <v>17280</v>
      </c>
      <c r="X11" s="491" t="s">
        <v>96</v>
      </c>
      <c r="Y11" s="487" t="s">
        <v>225</v>
      </c>
    </row>
    <row r="12" spans="1:25" s="44" customFormat="1" ht="22.9" customHeight="1">
      <c r="B12" s="496"/>
      <c r="C12" s="485"/>
      <c r="D12" s="56" t="s">
        <v>117</v>
      </c>
      <c r="E12" s="56" t="s">
        <v>24</v>
      </c>
      <c r="F12" s="57">
        <v>98</v>
      </c>
      <c r="G12" s="490"/>
      <c r="H12" s="490"/>
      <c r="I12" s="493"/>
      <c r="J12" s="58"/>
      <c r="K12" s="58"/>
      <c r="L12" s="148">
        <f t="shared" si="1"/>
        <v>17640</v>
      </c>
      <c r="M12" s="493"/>
      <c r="N12" s="151"/>
      <c r="O12" s="151"/>
      <c r="P12" s="151"/>
      <c r="Q12" s="151"/>
      <c r="R12" s="493"/>
      <c r="S12" s="58"/>
      <c r="T12" s="58"/>
      <c r="U12" s="58">
        <v>17640</v>
      </c>
      <c r="V12" s="58"/>
      <c r="W12" s="61">
        <f t="shared" ref="W12:W17" si="2">S12+T12+U12-V12</f>
        <v>17640</v>
      </c>
      <c r="X12" s="491"/>
      <c r="Y12" s="487"/>
    </row>
    <row r="13" spans="1:25" s="44" customFormat="1" ht="23.25">
      <c r="B13" s="496"/>
      <c r="C13" s="485"/>
      <c r="D13" s="56" t="s">
        <v>118</v>
      </c>
      <c r="E13" s="56" t="s">
        <v>24</v>
      </c>
      <c r="F13" s="57">
        <v>99</v>
      </c>
      <c r="G13" s="490"/>
      <c r="H13" s="490"/>
      <c r="I13" s="493"/>
      <c r="J13" s="58"/>
      <c r="K13" s="58"/>
      <c r="L13" s="148">
        <f t="shared" si="1"/>
        <v>17820</v>
      </c>
      <c r="M13" s="493"/>
      <c r="N13" s="151"/>
      <c r="O13" s="151"/>
      <c r="P13" s="151"/>
      <c r="Q13" s="151"/>
      <c r="R13" s="493"/>
      <c r="S13" s="58"/>
      <c r="T13" s="58"/>
      <c r="U13" s="58">
        <v>17820</v>
      </c>
      <c r="V13" s="58"/>
      <c r="W13" s="61">
        <f t="shared" si="2"/>
        <v>17820</v>
      </c>
      <c r="X13" s="491"/>
      <c r="Y13" s="487"/>
    </row>
    <row r="14" spans="1:25" s="44" customFormat="1" ht="23.25">
      <c r="B14" s="496"/>
      <c r="C14" s="485"/>
      <c r="D14" s="56" t="s">
        <v>119</v>
      </c>
      <c r="E14" s="56" t="s">
        <v>24</v>
      </c>
      <c r="F14" s="57">
        <v>147</v>
      </c>
      <c r="G14" s="490"/>
      <c r="H14" s="490"/>
      <c r="I14" s="493"/>
      <c r="J14" s="58"/>
      <c r="K14" s="58"/>
      <c r="L14" s="148">
        <f t="shared" si="1"/>
        <v>26460</v>
      </c>
      <c r="M14" s="493"/>
      <c r="N14" s="151"/>
      <c r="O14" s="151"/>
      <c r="P14" s="151"/>
      <c r="Q14" s="151"/>
      <c r="R14" s="493"/>
      <c r="S14" s="58"/>
      <c r="T14" s="58"/>
      <c r="U14" s="58">
        <v>26460</v>
      </c>
      <c r="V14" s="58"/>
      <c r="W14" s="61">
        <f t="shared" si="2"/>
        <v>26460</v>
      </c>
      <c r="X14" s="491"/>
      <c r="Y14" s="487"/>
    </row>
    <row r="15" spans="1:25" s="44" customFormat="1" ht="23.25">
      <c r="B15" s="496"/>
      <c r="C15" s="485"/>
      <c r="D15" s="56" t="s">
        <v>120</v>
      </c>
      <c r="E15" s="56" t="s">
        <v>24</v>
      </c>
      <c r="F15" s="57">
        <v>147</v>
      </c>
      <c r="G15" s="490"/>
      <c r="H15" s="490"/>
      <c r="I15" s="493"/>
      <c r="J15" s="58"/>
      <c r="K15" s="58"/>
      <c r="L15" s="148">
        <f t="shared" si="1"/>
        <v>26460</v>
      </c>
      <c r="M15" s="493"/>
      <c r="N15" s="151"/>
      <c r="O15" s="151"/>
      <c r="P15" s="151"/>
      <c r="Q15" s="151"/>
      <c r="R15" s="493"/>
      <c r="S15" s="58"/>
      <c r="T15" s="58"/>
      <c r="U15" s="58">
        <v>26460</v>
      </c>
      <c r="V15" s="58"/>
      <c r="W15" s="61">
        <f t="shared" si="2"/>
        <v>26460</v>
      </c>
      <c r="X15" s="491"/>
      <c r="Y15" s="487"/>
    </row>
    <row r="16" spans="1:25" s="44" customFormat="1" ht="23.25">
      <c r="B16" s="496"/>
      <c r="C16" s="485"/>
      <c r="D16" s="56" t="s">
        <v>121</v>
      </c>
      <c r="E16" s="56" t="s">
        <v>13</v>
      </c>
      <c r="F16" s="57">
        <v>99</v>
      </c>
      <c r="G16" s="490"/>
      <c r="H16" s="490"/>
      <c r="I16" s="493"/>
      <c r="J16" s="58"/>
      <c r="K16" s="58"/>
      <c r="L16" s="148">
        <f t="shared" si="1"/>
        <v>17820</v>
      </c>
      <c r="M16" s="493"/>
      <c r="N16" s="151"/>
      <c r="O16" s="151"/>
      <c r="P16" s="151"/>
      <c r="Q16" s="151"/>
      <c r="R16" s="493"/>
      <c r="S16" s="58"/>
      <c r="T16" s="58"/>
      <c r="U16" s="58">
        <v>17820</v>
      </c>
      <c r="V16" s="58"/>
      <c r="W16" s="61">
        <f t="shared" si="2"/>
        <v>17820</v>
      </c>
      <c r="X16" s="491"/>
      <c r="Y16" s="487"/>
    </row>
    <row r="17" spans="2:25" s="44" customFormat="1" ht="23.25">
      <c r="B17" s="496"/>
      <c r="C17" s="485"/>
      <c r="D17" s="56" t="s">
        <v>122</v>
      </c>
      <c r="E17" s="56" t="s">
        <v>24</v>
      </c>
      <c r="F17" s="57">
        <v>192</v>
      </c>
      <c r="G17" s="490"/>
      <c r="H17" s="490"/>
      <c r="I17" s="494"/>
      <c r="J17" s="58"/>
      <c r="K17" s="58">
        <f>192*180</f>
        <v>34560</v>
      </c>
      <c r="L17" s="148">
        <f t="shared" si="1"/>
        <v>34560</v>
      </c>
      <c r="M17" s="494"/>
      <c r="N17" s="150"/>
      <c r="O17" s="150"/>
      <c r="P17" s="150"/>
      <c r="Q17" s="150"/>
      <c r="R17" s="494"/>
      <c r="S17" s="58"/>
      <c r="T17" s="58"/>
      <c r="U17" s="58">
        <v>34560</v>
      </c>
      <c r="V17" s="58"/>
      <c r="W17" s="61">
        <f t="shared" si="2"/>
        <v>34560</v>
      </c>
      <c r="X17" s="491"/>
      <c r="Y17" s="487"/>
    </row>
    <row r="18" spans="2:25" s="44" customFormat="1" ht="37.15" customHeight="1">
      <c r="B18" s="496">
        <v>7</v>
      </c>
      <c r="C18" s="498" t="s">
        <v>11</v>
      </c>
      <c r="D18" s="62" t="s">
        <v>123</v>
      </c>
      <c r="E18" s="62" t="s">
        <v>13</v>
      </c>
      <c r="F18" s="63">
        <v>110</v>
      </c>
      <c r="G18" s="490">
        <v>30900</v>
      </c>
      <c r="H18" s="490">
        <v>61800</v>
      </c>
      <c r="I18" s="492">
        <f>SUM(G18:H19)</f>
        <v>92700</v>
      </c>
      <c r="J18" s="58">
        <f>150*110</f>
        <v>16500</v>
      </c>
      <c r="K18" s="58">
        <f>150*110</f>
        <v>16500</v>
      </c>
      <c r="L18" s="148">
        <f>150*110</f>
        <v>16500</v>
      </c>
      <c r="M18" s="148">
        <v>0</v>
      </c>
      <c r="N18" s="148"/>
      <c r="O18" s="148"/>
      <c r="P18" s="148"/>
      <c r="Q18" s="148"/>
      <c r="R18" s="58">
        <v>0</v>
      </c>
      <c r="S18" s="58">
        <f>150*110</f>
        <v>16500</v>
      </c>
      <c r="T18" s="58">
        <f>150*110</f>
        <v>16500</v>
      </c>
      <c r="U18" s="58">
        <f>150*110</f>
        <v>16500</v>
      </c>
      <c r="V18" s="58"/>
      <c r="W18" s="58">
        <f>S18+T18+U18-V18</f>
        <v>49500</v>
      </c>
      <c r="X18" s="484" t="s">
        <v>93</v>
      </c>
      <c r="Y18" s="487" t="s">
        <v>97</v>
      </c>
    </row>
    <row r="19" spans="2:25" s="44" customFormat="1" ht="27" customHeight="1">
      <c r="B19" s="496"/>
      <c r="C19" s="498"/>
      <c r="D19" s="62" t="s">
        <v>124</v>
      </c>
      <c r="E19" s="62" t="s">
        <v>25</v>
      </c>
      <c r="F19" s="63">
        <v>96</v>
      </c>
      <c r="G19" s="490"/>
      <c r="H19" s="490"/>
      <c r="I19" s="494"/>
      <c r="J19" s="58">
        <f>150*96</f>
        <v>14400</v>
      </c>
      <c r="K19" s="58">
        <f>150*96</f>
        <v>14400</v>
      </c>
      <c r="L19" s="148">
        <f>150*96</f>
        <v>14400</v>
      </c>
      <c r="M19" s="148">
        <v>0</v>
      </c>
      <c r="N19" s="148"/>
      <c r="O19" s="148"/>
      <c r="P19" s="148"/>
      <c r="Q19" s="148"/>
      <c r="R19" s="58">
        <v>0</v>
      </c>
      <c r="S19" s="58">
        <f>150*96</f>
        <v>14400</v>
      </c>
      <c r="T19" s="58">
        <f>150*96</f>
        <v>14400</v>
      </c>
      <c r="U19" s="58">
        <f>150*96</f>
        <v>14400</v>
      </c>
      <c r="V19" s="58"/>
      <c r="W19" s="58">
        <f>S19+T19+U19-V19</f>
        <v>43200</v>
      </c>
      <c r="X19" s="484"/>
      <c r="Y19" s="487"/>
    </row>
    <row r="20" spans="2:25" s="44" customFormat="1" ht="139.5">
      <c r="B20" s="55">
        <v>8</v>
      </c>
      <c r="C20" s="64" t="s">
        <v>104</v>
      </c>
      <c r="D20" s="62" t="s">
        <v>125</v>
      </c>
      <c r="E20" s="62" t="s">
        <v>13</v>
      </c>
      <c r="F20" s="63">
        <v>99</v>
      </c>
      <c r="G20" s="58">
        <v>62748</v>
      </c>
      <c r="H20" s="58">
        <v>41832</v>
      </c>
      <c r="I20" s="82">
        <f>SUM(G20:H20)</f>
        <v>104580</v>
      </c>
      <c r="J20" s="58">
        <v>20916</v>
      </c>
      <c r="K20" s="58">
        <v>20916</v>
      </c>
      <c r="L20" s="148">
        <v>20916</v>
      </c>
      <c r="M20" s="148">
        <v>0</v>
      </c>
      <c r="N20" s="148"/>
      <c r="O20" s="148"/>
      <c r="P20" s="148"/>
      <c r="Q20" s="148"/>
      <c r="R20" s="58">
        <v>0</v>
      </c>
      <c r="S20" s="58">
        <v>20916</v>
      </c>
      <c r="T20" s="58">
        <v>20916</v>
      </c>
      <c r="U20" s="58">
        <v>20916</v>
      </c>
      <c r="V20" s="58"/>
      <c r="W20" s="58">
        <f>S20+T20+U20-V20</f>
        <v>62748</v>
      </c>
      <c r="X20" s="59" t="s">
        <v>93</v>
      </c>
      <c r="Y20" s="60" t="s">
        <v>98</v>
      </c>
    </row>
    <row r="21" spans="2:25" s="44" customFormat="1" ht="15.6" customHeight="1">
      <c r="B21" s="55">
        <v>9</v>
      </c>
      <c r="C21" s="485" t="s">
        <v>34</v>
      </c>
      <c r="D21" s="56" t="s">
        <v>126</v>
      </c>
      <c r="E21" s="56" t="s">
        <v>35</v>
      </c>
      <c r="F21" s="57">
        <v>96</v>
      </c>
      <c r="G21" s="490">
        <f>90000+300000+4200</f>
        <v>394200</v>
      </c>
      <c r="H21" s="490">
        <v>262800</v>
      </c>
      <c r="I21" s="492">
        <f>SUM(G21:H24)</f>
        <v>657000</v>
      </c>
      <c r="J21" s="58"/>
      <c r="K21" s="490">
        <v>131400</v>
      </c>
      <c r="L21" s="492">
        <v>131400</v>
      </c>
      <c r="M21" s="490" t="e">
        <f>C21-F21-G21</f>
        <v>#VALUE!</v>
      </c>
      <c r="N21" s="148"/>
      <c r="O21" s="148"/>
      <c r="P21" s="148"/>
      <c r="Q21" s="148"/>
      <c r="R21" s="490">
        <f>H21-K21-L21</f>
        <v>0</v>
      </c>
      <c r="S21" s="58"/>
      <c r="T21" s="58"/>
      <c r="U21" s="58">
        <f>300*96</f>
        <v>28800</v>
      </c>
      <c r="V21" s="58">
        <v>0</v>
      </c>
      <c r="W21" s="58">
        <f t="shared" ref="W21:W51" si="3">S21+T21+U21-V21</f>
        <v>28800</v>
      </c>
      <c r="X21" s="484" t="s">
        <v>83</v>
      </c>
      <c r="Y21" s="487" t="s">
        <v>82</v>
      </c>
    </row>
    <row r="22" spans="2:25" s="44" customFormat="1" ht="23.25">
      <c r="B22" s="55">
        <v>10</v>
      </c>
      <c r="C22" s="485"/>
      <c r="D22" s="56" t="s">
        <v>127</v>
      </c>
      <c r="E22" s="56" t="s">
        <v>36</v>
      </c>
      <c r="F22" s="57">
        <v>96</v>
      </c>
      <c r="G22" s="490"/>
      <c r="H22" s="490"/>
      <c r="I22" s="493"/>
      <c r="J22" s="58"/>
      <c r="K22" s="490"/>
      <c r="L22" s="493"/>
      <c r="M22" s="490"/>
      <c r="N22" s="148"/>
      <c r="O22" s="148"/>
      <c r="P22" s="148"/>
      <c r="Q22" s="148"/>
      <c r="R22" s="490"/>
      <c r="S22" s="58"/>
      <c r="T22" s="58"/>
      <c r="U22" s="58">
        <f>300*96</f>
        <v>28800</v>
      </c>
      <c r="V22" s="58">
        <v>0</v>
      </c>
      <c r="W22" s="58">
        <f t="shared" si="3"/>
        <v>28800</v>
      </c>
      <c r="X22" s="485"/>
      <c r="Y22" s="488"/>
    </row>
    <row r="23" spans="2:25" s="44" customFormat="1" ht="23.25">
      <c r="B23" s="55">
        <v>11</v>
      </c>
      <c r="C23" s="485"/>
      <c r="D23" s="56" t="s">
        <v>128</v>
      </c>
      <c r="E23" s="56" t="s">
        <v>12</v>
      </c>
      <c r="F23" s="57">
        <v>99</v>
      </c>
      <c r="G23" s="490"/>
      <c r="H23" s="490"/>
      <c r="I23" s="493"/>
      <c r="J23" s="58"/>
      <c r="K23" s="490"/>
      <c r="L23" s="493"/>
      <c r="M23" s="490"/>
      <c r="N23" s="148"/>
      <c r="O23" s="148"/>
      <c r="P23" s="148"/>
      <c r="Q23" s="148"/>
      <c r="R23" s="490"/>
      <c r="S23" s="58"/>
      <c r="T23" s="58"/>
      <c r="U23" s="58">
        <f>300*99</f>
        <v>29700</v>
      </c>
      <c r="V23" s="58">
        <v>0</v>
      </c>
      <c r="W23" s="58">
        <f t="shared" si="3"/>
        <v>29700</v>
      </c>
      <c r="X23" s="485"/>
      <c r="Y23" s="488"/>
    </row>
    <row r="24" spans="2:25" s="44" customFormat="1" ht="41.45" customHeight="1">
      <c r="B24" s="55">
        <v>12</v>
      </c>
      <c r="C24" s="485"/>
      <c r="D24" s="56" t="s">
        <v>129</v>
      </c>
      <c r="E24" s="56" t="s">
        <v>12</v>
      </c>
      <c r="F24" s="57">
        <v>147</v>
      </c>
      <c r="G24" s="490"/>
      <c r="H24" s="490"/>
      <c r="I24" s="494"/>
      <c r="J24" s="58"/>
      <c r="K24" s="490"/>
      <c r="L24" s="494"/>
      <c r="M24" s="490"/>
      <c r="N24" s="148"/>
      <c r="O24" s="148"/>
      <c r="P24" s="148"/>
      <c r="Q24" s="148"/>
      <c r="R24" s="490"/>
      <c r="S24" s="58"/>
      <c r="T24" s="58"/>
      <c r="U24" s="58">
        <f>300*147</f>
        <v>44100</v>
      </c>
      <c r="V24" s="58">
        <v>0</v>
      </c>
      <c r="W24" s="58">
        <f t="shared" si="3"/>
        <v>44100</v>
      </c>
      <c r="X24" s="485"/>
      <c r="Y24" s="488"/>
    </row>
    <row r="25" spans="2:25" s="44" customFormat="1" ht="23.25">
      <c r="B25" s="55">
        <v>13</v>
      </c>
      <c r="C25" s="62" t="s">
        <v>9</v>
      </c>
      <c r="D25" s="62" t="s">
        <v>130</v>
      </c>
      <c r="E25" s="62" t="s">
        <v>12</v>
      </c>
      <c r="F25" s="63">
        <v>291</v>
      </c>
      <c r="G25" s="58">
        <v>196830</v>
      </c>
      <c r="H25" s="58">
        <v>196830</v>
      </c>
      <c r="I25" s="82">
        <f>SUM(G25:H25)</f>
        <v>393660</v>
      </c>
      <c r="J25" s="58"/>
      <c r="K25" s="58">
        <v>65610</v>
      </c>
      <c r="L25" s="148">
        <v>65610</v>
      </c>
      <c r="M25" s="148" t="str">
        <f>C25</f>
        <v>CUTE KIDS</v>
      </c>
      <c r="N25" s="148"/>
      <c r="O25" s="148"/>
      <c r="P25" s="148"/>
      <c r="Q25" s="148"/>
      <c r="R25" s="58">
        <f>H25</f>
        <v>196830</v>
      </c>
      <c r="S25" s="58"/>
      <c r="T25" s="58">
        <v>65610</v>
      </c>
      <c r="U25" s="65">
        <v>65610</v>
      </c>
      <c r="V25" s="65">
        <v>65610</v>
      </c>
      <c r="W25" s="58">
        <f>T25+U25-V25</f>
        <v>65610</v>
      </c>
      <c r="X25" s="62"/>
      <c r="Y25" s="60" t="s">
        <v>81</v>
      </c>
    </row>
    <row r="26" spans="2:25" s="44" customFormat="1" ht="46.5">
      <c r="B26" s="55">
        <v>14</v>
      </c>
      <c r="C26" s="62" t="s">
        <v>10</v>
      </c>
      <c r="D26" s="62" t="s">
        <v>131</v>
      </c>
      <c r="E26" s="62" t="s">
        <v>13</v>
      </c>
      <c r="F26" s="63">
        <v>99</v>
      </c>
      <c r="G26" s="58">
        <v>86400</v>
      </c>
      <c r="H26" s="58">
        <v>86400</v>
      </c>
      <c r="I26" s="82">
        <f>SUM(G26:H26)</f>
        <v>172800</v>
      </c>
      <c r="J26" s="58"/>
      <c r="K26" s="58">
        <v>14400</v>
      </c>
      <c r="L26" s="148">
        <v>14400</v>
      </c>
      <c r="M26" s="148"/>
      <c r="N26" s="148"/>
      <c r="O26" s="148"/>
      <c r="P26" s="148"/>
      <c r="Q26" s="148"/>
      <c r="R26" s="58"/>
      <c r="S26" s="58"/>
      <c r="T26" s="58">
        <v>14400</v>
      </c>
      <c r="U26" s="58">
        <v>14400</v>
      </c>
      <c r="V26" s="65">
        <f>14400*2</f>
        <v>28800</v>
      </c>
      <c r="W26" s="58">
        <f t="shared" si="3"/>
        <v>0</v>
      </c>
      <c r="X26" s="64" t="s">
        <v>110</v>
      </c>
      <c r="Y26" s="66" t="s">
        <v>92</v>
      </c>
    </row>
    <row r="27" spans="2:25" s="44" customFormat="1" ht="23.25">
      <c r="B27" s="55">
        <v>15</v>
      </c>
      <c r="C27" s="484" t="s">
        <v>108</v>
      </c>
      <c r="D27" s="56" t="s">
        <v>132</v>
      </c>
      <c r="E27" s="56" t="s">
        <v>24</v>
      </c>
      <c r="F27" s="57">
        <v>144</v>
      </c>
      <c r="G27" s="490">
        <v>844800</v>
      </c>
      <c r="H27" s="490">
        <v>844800</v>
      </c>
      <c r="I27" s="492">
        <f t="shared" si="0"/>
        <v>1689600</v>
      </c>
      <c r="J27" s="58"/>
      <c r="K27" s="58"/>
      <c r="L27" s="148">
        <f t="shared" ref="L27:L38" si="4">200*F27</f>
        <v>28800</v>
      </c>
      <c r="M27" s="490">
        <f>844800-281600</f>
        <v>563200</v>
      </c>
      <c r="N27" s="148"/>
      <c r="O27" s="148"/>
      <c r="P27" s="148"/>
      <c r="Q27" s="148"/>
      <c r="R27" s="490">
        <f>844800-281600</f>
        <v>563200</v>
      </c>
      <c r="S27" s="58"/>
      <c r="T27" s="58"/>
      <c r="U27" s="58">
        <v>28800</v>
      </c>
      <c r="V27" s="58"/>
      <c r="W27" s="58">
        <f t="shared" si="3"/>
        <v>28800</v>
      </c>
      <c r="X27" s="484" t="s">
        <v>91</v>
      </c>
      <c r="Y27" s="487" t="s">
        <v>89</v>
      </c>
    </row>
    <row r="28" spans="2:25" s="44" customFormat="1" ht="23.25">
      <c r="B28" s="55">
        <v>16</v>
      </c>
      <c r="C28" s="485"/>
      <c r="D28" s="56" t="s">
        <v>133</v>
      </c>
      <c r="E28" s="56" t="s">
        <v>26</v>
      </c>
      <c r="F28" s="57">
        <v>98</v>
      </c>
      <c r="G28" s="490"/>
      <c r="H28" s="490"/>
      <c r="I28" s="493"/>
      <c r="J28" s="58"/>
      <c r="K28" s="58"/>
      <c r="L28" s="148">
        <f t="shared" si="4"/>
        <v>19600</v>
      </c>
      <c r="M28" s="490"/>
      <c r="N28" s="148"/>
      <c r="O28" s="148"/>
      <c r="P28" s="148"/>
      <c r="Q28" s="148"/>
      <c r="R28" s="490"/>
      <c r="S28" s="58"/>
      <c r="T28" s="58"/>
      <c r="U28" s="58">
        <v>19600</v>
      </c>
      <c r="V28" s="58"/>
      <c r="W28" s="58">
        <f t="shared" si="3"/>
        <v>19600</v>
      </c>
      <c r="X28" s="485"/>
      <c r="Y28" s="488"/>
    </row>
    <row r="29" spans="2:25" s="44" customFormat="1" ht="23.25">
      <c r="B29" s="55">
        <v>17</v>
      </c>
      <c r="C29" s="485"/>
      <c r="D29" s="56" t="s">
        <v>134</v>
      </c>
      <c r="E29" s="56" t="s">
        <v>27</v>
      </c>
      <c r="F29" s="57">
        <v>98</v>
      </c>
      <c r="G29" s="490"/>
      <c r="H29" s="490"/>
      <c r="I29" s="493"/>
      <c r="J29" s="58"/>
      <c r="K29" s="58"/>
      <c r="L29" s="148">
        <f t="shared" si="4"/>
        <v>19600</v>
      </c>
      <c r="M29" s="490"/>
      <c r="N29" s="148"/>
      <c r="O29" s="148"/>
      <c r="P29" s="148"/>
      <c r="Q29" s="148"/>
      <c r="R29" s="490"/>
      <c r="S29" s="58"/>
      <c r="T29" s="58"/>
      <c r="U29" s="58">
        <v>19600</v>
      </c>
      <c r="V29" s="58"/>
      <c r="W29" s="58">
        <f t="shared" si="3"/>
        <v>19600</v>
      </c>
      <c r="X29" s="485"/>
      <c r="Y29" s="488"/>
    </row>
    <row r="30" spans="2:25" s="44" customFormat="1" ht="23.25">
      <c r="B30" s="55">
        <v>18</v>
      </c>
      <c r="C30" s="485"/>
      <c r="D30" s="56" t="s">
        <v>135</v>
      </c>
      <c r="E30" s="56" t="s">
        <v>28</v>
      </c>
      <c r="F30" s="57">
        <v>99</v>
      </c>
      <c r="G30" s="490"/>
      <c r="H30" s="490"/>
      <c r="I30" s="493"/>
      <c r="J30" s="58"/>
      <c r="K30" s="58"/>
      <c r="L30" s="148">
        <f t="shared" si="4"/>
        <v>19800</v>
      </c>
      <c r="M30" s="490"/>
      <c r="N30" s="148"/>
      <c r="O30" s="148"/>
      <c r="P30" s="148"/>
      <c r="Q30" s="148"/>
      <c r="R30" s="490"/>
      <c r="S30" s="58"/>
      <c r="T30" s="58"/>
      <c r="U30" s="58">
        <v>19800</v>
      </c>
      <c r="V30" s="58"/>
      <c r="W30" s="58">
        <f t="shared" si="3"/>
        <v>19800</v>
      </c>
      <c r="X30" s="485"/>
      <c r="Y30" s="488"/>
    </row>
    <row r="31" spans="2:25" s="44" customFormat="1" ht="23.25">
      <c r="B31" s="55">
        <v>19</v>
      </c>
      <c r="C31" s="485"/>
      <c r="D31" s="56" t="s">
        <v>136</v>
      </c>
      <c r="E31" s="56" t="s">
        <v>29</v>
      </c>
      <c r="F31" s="57">
        <v>96</v>
      </c>
      <c r="G31" s="490"/>
      <c r="H31" s="490"/>
      <c r="I31" s="493"/>
      <c r="J31" s="58"/>
      <c r="K31" s="58"/>
      <c r="L31" s="148">
        <f t="shared" si="4"/>
        <v>19200</v>
      </c>
      <c r="M31" s="490"/>
      <c r="N31" s="148"/>
      <c r="O31" s="148"/>
      <c r="P31" s="148"/>
      <c r="Q31" s="148"/>
      <c r="R31" s="490"/>
      <c r="S31" s="58"/>
      <c r="T31" s="58"/>
      <c r="U31" s="58">
        <v>19200</v>
      </c>
      <c r="V31" s="58"/>
      <c r="W31" s="58">
        <f t="shared" si="3"/>
        <v>19200</v>
      </c>
      <c r="X31" s="485"/>
      <c r="Y31" s="488"/>
    </row>
    <row r="32" spans="2:25" s="44" customFormat="1" ht="23.25">
      <c r="B32" s="55">
        <v>20</v>
      </c>
      <c r="C32" s="485"/>
      <c r="D32" s="56" t="s">
        <v>137</v>
      </c>
      <c r="E32" s="56" t="s">
        <v>30</v>
      </c>
      <c r="F32" s="57">
        <v>96</v>
      </c>
      <c r="G32" s="490"/>
      <c r="H32" s="490"/>
      <c r="I32" s="493"/>
      <c r="J32" s="58"/>
      <c r="K32" s="58"/>
      <c r="L32" s="148">
        <f t="shared" si="4"/>
        <v>19200</v>
      </c>
      <c r="M32" s="490"/>
      <c r="N32" s="148"/>
      <c r="O32" s="148"/>
      <c r="P32" s="148"/>
      <c r="Q32" s="148"/>
      <c r="R32" s="490"/>
      <c r="S32" s="58"/>
      <c r="T32" s="58"/>
      <c r="U32" s="58">
        <v>19200</v>
      </c>
      <c r="V32" s="58"/>
      <c r="W32" s="58">
        <f t="shared" si="3"/>
        <v>19200</v>
      </c>
      <c r="X32" s="485"/>
      <c r="Y32" s="488"/>
    </row>
    <row r="33" spans="2:27" s="44" customFormat="1" ht="23.25">
      <c r="B33" s="55">
        <v>21</v>
      </c>
      <c r="C33" s="485"/>
      <c r="D33" s="56" t="s">
        <v>138</v>
      </c>
      <c r="E33" s="56" t="s">
        <v>31</v>
      </c>
      <c r="F33" s="57">
        <v>147</v>
      </c>
      <c r="G33" s="490"/>
      <c r="H33" s="490"/>
      <c r="I33" s="493"/>
      <c r="J33" s="58"/>
      <c r="K33" s="58"/>
      <c r="L33" s="148">
        <f t="shared" si="4"/>
        <v>29400</v>
      </c>
      <c r="M33" s="490"/>
      <c r="N33" s="148"/>
      <c r="O33" s="148"/>
      <c r="P33" s="148"/>
      <c r="Q33" s="148"/>
      <c r="R33" s="490"/>
      <c r="S33" s="58"/>
      <c r="T33" s="58"/>
      <c r="U33" s="58">
        <v>29400</v>
      </c>
      <c r="V33" s="58"/>
      <c r="W33" s="58">
        <f t="shared" si="3"/>
        <v>29400</v>
      </c>
      <c r="X33" s="485"/>
      <c r="Y33" s="488"/>
    </row>
    <row r="34" spans="2:27" s="44" customFormat="1" ht="23.25">
      <c r="B34" s="55">
        <v>22</v>
      </c>
      <c r="C34" s="485"/>
      <c r="D34" s="56" t="s">
        <v>139</v>
      </c>
      <c r="E34" s="56" t="s">
        <v>24</v>
      </c>
      <c r="F34" s="57">
        <v>147</v>
      </c>
      <c r="G34" s="490"/>
      <c r="H34" s="490"/>
      <c r="I34" s="493"/>
      <c r="J34" s="58"/>
      <c r="K34" s="58"/>
      <c r="L34" s="148">
        <f t="shared" si="4"/>
        <v>29400</v>
      </c>
      <c r="M34" s="490"/>
      <c r="N34" s="148"/>
      <c r="O34" s="148"/>
      <c r="P34" s="148"/>
      <c r="Q34" s="148"/>
      <c r="R34" s="490"/>
      <c r="S34" s="58"/>
      <c r="T34" s="58"/>
      <c r="U34" s="58">
        <v>29400</v>
      </c>
      <c r="V34" s="58"/>
      <c r="W34" s="58">
        <f t="shared" si="3"/>
        <v>29400</v>
      </c>
      <c r="X34" s="485"/>
      <c r="Y34" s="488"/>
    </row>
    <row r="35" spans="2:27" s="44" customFormat="1" ht="23.25">
      <c r="B35" s="55">
        <v>23</v>
      </c>
      <c r="C35" s="485"/>
      <c r="D35" s="56" t="s">
        <v>140</v>
      </c>
      <c r="E35" s="56" t="s">
        <v>32</v>
      </c>
      <c r="F35" s="57">
        <v>99</v>
      </c>
      <c r="G35" s="490"/>
      <c r="H35" s="490"/>
      <c r="I35" s="493"/>
      <c r="J35" s="58"/>
      <c r="K35" s="58"/>
      <c r="L35" s="148">
        <f t="shared" si="4"/>
        <v>19800</v>
      </c>
      <c r="M35" s="490"/>
      <c r="N35" s="148"/>
      <c r="O35" s="148"/>
      <c r="P35" s="148"/>
      <c r="Q35" s="148"/>
      <c r="R35" s="490"/>
      <c r="S35" s="58"/>
      <c r="T35" s="58"/>
      <c r="U35" s="58">
        <v>19800</v>
      </c>
      <c r="V35" s="58"/>
      <c r="W35" s="58">
        <f t="shared" si="3"/>
        <v>19800</v>
      </c>
      <c r="X35" s="485"/>
      <c r="Y35" s="488"/>
    </row>
    <row r="36" spans="2:27" s="44" customFormat="1" ht="23.25">
      <c r="B36" s="55">
        <v>24</v>
      </c>
      <c r="C36" s="485"/>
      <c r="D36" s="56" t="s">
        <v>141</v>
      </c>
      <c r="E36" s="56" t="s">
        <v>24</v>
      </c>
      <c r="F36" s="57">
        <v>192</v>
      </c>
      <c r="G36" s="490"/>
      <c r="H36" s="490"/>
      <c r="I36" s="493"/>
      <c r="J36" s="58"/>
      <c r="K36" s="58"/>
      <c r="L36" s="148">
        <f t="shared" si="4"/>
        <v>38400</v>
      </c>
      <c r="M36" s="490"/>
      <c r="N36" s="148"/>
      <c r="O36" s="148"/>
      <c r="P36" s="148"/>
      <c r="Q36" s="148"/>
      <c r="R36" s="490"/>
      <c r="S36" s="58"/>
      <c r="T36" s="58"/>
      <c r="U36" s="58">
        <v>38400</v>
      </c>
      <c r="V36" s="58"/>
      <c r="W36" s="58">
        <f t="shared" si="3"/>
        <v>38400</v>
      </c>
      <c r="X36" s="485"/>
      <c r="Y36" s="488"/>
    </row>
    <row r="37" spans="2:27" s="44" customFormat="1" ht="23.25">
      <c r="B37" s="55">
        <v>25</v>
      </c>
      <c r="C37" s="485"/>
      <c r="D37" s="56" t="s">
        <v>142</v>
      </c>
      <c r="E37" s="56" t="s">
        <v>13</v>
      </c>
      <c r="F37" s="57">
        <v>96</v>
      </c>
      <c r="G37" s="490"/>
      <c r="H37" s="490"/>
      <c r="I37" s="493"/>
      <c r="J37" s="58"/>
      <c r="K37" s="58"/>
      <c r="L37" s="148">
        <f t="shared" si="4"/>
        <v>19200</v>
      </c>
      <c r="M37" s="490"/>
      <c r="N37" s="148"/>
      <c r="O37" s="148"/>
      <c r="P37" s="148"/>
      <c r="Q37" s="148"/>
      <c r="R37" s="490"/>
      <c r="S37" s="58"/>
      <c r="T37" s="58"/>
      <c r="U37" s="58">
        <v>19200</v>
      </c>
      <c r="V37" s="58"/>
      <c r="W37" s="58">
        <f t="shared" si="3"/>
        <v>19200</v>
      </c>
      <c r="X37" s="485"/>
      <c r="Y37" s="488"/>
    </row>
    <row r="38" spans="2:27" s="44" customFormat="1" ht="23.25">
      <c r="B38" s="55">
        <v>26</v>
      </c>
      <c r="C38" s="485"/>
      <c r="D38" s="56" t="s">
        <v>143</v>
      </c>
      <c r="E38" s="56" t="s">
        <v>24</v>
      </c>
      <c r="F38" s="57">
        <v>96</v>
      </c>
      <c r="G38" s="490"/>
      <c r="H38" s="490"/>
      <c r="I38" s="494"/>
      <c r="J38" s="58"/>
      <c r="K38" s="58"/>
      <c r="L38" s="148">
        <f t="shared" si="4"/>
        <v>19200</v>
      </c>
      <c r="M38" s="490"/>
      <c r="N38" s="148"/>
      <c r="O38" s="148"/>
      <c r="P38" s="148"/>
      <c r="Q38" s="148"/>
      <c r="R38" s="490"/>
      <c r="S38" s="58"/>
      <c r="T38" s="58"/>
      <c r="U38" s="58">
        <v>19200</v>
      </c>
      <c r="V38" s="58"/>
      <c r="W38" s="58">
        <f t="shared" si="3"/>
        <v>19200</v>
      </c>
      <c r="X38" s="485"/>
      <c r="Y38" s="488"/>
    </row>
    <row r="39" spans="2:27" s="44" customFormat="1" ht="46.5">
      <c r="B39" s="55">
        <v>27</v>
      </c>
      <c r="C39" s="59" t="s">
        <v>105</v>
      </c>
      <c r="D39" s="56" t="s">
        <v>69</v>
      </c>
      <c r="E39" s="56"/>
      <c r="F39" s="57">
        <v>96</v>
      </c>
      <c r="G39" s="58">
        <v>40320</v>
      </c>
      <c r="H39" s="58">
        <v>40320</v>
      </c>
      <c r="I39" s="82">
        <f t="shared" si="0"/>
        <v>80640</v>
      </c>
      <c r="J39" s="58">
        <v>20160</v>
      </c>
      <c r="K39" s="58">
        <f>210*96</f>
        <v>20160</v>
      </c>
      <c r="L39" s="148">
        <f>210*96</f>
        <v>20160</v>
      </c>
      <c r="M39" s="148">
        <v>0</v>
      </c>
      <c r="N39" s="148"/>
      <c r="O39" s="148"/>
      <c r="P39" s="148"/>
      <c r="Q39" s="148"/>
      <c r="R39" s="58">
        <v>0</v>
      </c>
      <c r="S39" s="58"/>
      <c r="T39" s="58"/>
      <c r="U39" s="58"/>
      <c r="V39" s="58"/>
      <c r="W39" s="58">
        <f t="shared" si="3"/>
        <v>0</v>
      </c>
      <c r="X39" s="56" t="s">
        <v>99</v>
      </c>
      <c r="Y39" s="60" t="s">
        <v>100</v>
      </c>
    </row>
    <row r="40" spans="2:27" s="44" customFormat="1" ht="46.5">
      <c r="B40" s="55">
        <v>28</v>
      </c>
      <c r="C40" s="56" t="s">
        <v>55</v>
      </c>
      <c r="D40" s="56" t="s">
        <v>144</v>
      </c>
      <c r="E40" s="56" t="s">
        <v>33</v>
      </c>
      <c r="F40" s="57">
        <v>96</v>
      </c>
      <c r="G40" s="58">
        <v>86400</v>
      </c>
      <c r="H40" s="58">
        <v>28800</v>
      </c>
      <c r="I40" s="82">
        <f t="shared" si="0"/>
        <v>115200</v>
      </c>
      <c r="J40" s="58">
        <v>0</v>
      </c>
      <c r="K40" s="58">
        <v>0</v>
      </c>
      <c r="L40" s="148">
        <v>28800</v>
      </c>
      <c r="M40" s="148" t="e">
        <f>C40-E40</f>
        <v>#VALUE!</v>
      </c>
      <c r="N40" s="148"/>
      <c r="O40" s="148"/>
      <c r="P40" s="148"/>
      <c r="Q40" s="148"/>
      <c r="R40" s="58">
        <f>H40-J40</f>
        <v>28800</v>
      </c>
      <c r="S40" s="58">
        <v>0</v>
      </c>
      <c r="T40" s="58">
        <v>0</v>
      </c>
      <c r="U40" s="58">
        <v>28800</v>
      </c>
      <c r="V40" s="58"/>
      <c r="W40" s="58">
        <f t="shared" si="3"/>
        <v>28800</v>
      </c>
      <c r="X40" s="56"/>
      <c r="Y40" s="60" t="s">
        <v>88</v>
      </c>
    </row>
    <row r="41" spans="2:27" s="44" customFormat="1" ht="46.5">
      <c r="B41" s="55">
        <v>29</v>
      </c>
      <c r="C41" s="59" t="s">
        <v>106</v>
      </c>
      <c r="D41" s="56" t="s">
        <v>64</v>
      </c>
      <c r="E41" s="56"/>
      <c r="F41" s="57">
        <v>119</v>
      </c>
      <c r="G41" s="58">
        <v>104300</v>
      </c>
      <c r="H41" s="58">
        <v>35700</v>
      </c>
      <c r="I41" s="82">
        <f t="shared" si="0"/>
        <v>140000</v>
      </c>
      <c r="J41" s="58"/>
      <c r="K41" s="58"/>
      <c r="L41" s="148"/>
      <c r="M41" s="148">
        <v>0</v>
      </c>
      <c r="N41" s="148"/>
      <c r="O41" s="148"/>
      <c r="P41" s="148"/>
      <c r="Q41" s="148"/>
      <c r="R41" s="58">
        <v>0</v>
      </c>
      <c r="S41" s="58"/>
      <c r="T41" s="58"/>
      <c r="U41" s="58"/>
      <c r="V41" s="58"/>
      <c r="W41" s="58">
        <f t="shared" si="3"/>
        <v>0</v>
      </c>
      <c r="X41" s="56"/>
      <c r="Y41" s="67"/>
      <c r="AA41" s="44">
        <f>28800/96</f>
        <v>300</v>
      </c>
    </row>
    <row r="42" spans="2:27" s="44" customFormat="1" ht="23.25">
      <c r="B42" s="496">
        <v>30</v>
      </c>
      <c r="C42" s="485" t="s">
        <v>4</v>
      </c>
      <c r="D42" s="56" t="s">
        <v>145</v>
      </c>
      <c r="E42" s="56" t="s">
        <v>13</v>
      </c>
      <c r="F42" s="57">
        <v>144</v>
      </c>
      <c r="G42" s="490">
        <v>180000</v>
      </c>
      <c r="H42" s="490">
        <v>220000</v>
      </c>
      <c r="I42" s="492">
        <f>SUM(G42:H51)</f>
        <v>400000</v>
      </c>
      <c r="J42" s="58"/>
      <c r="K42" s="58">
        <f>100*144</f>
        <v>14400</v>
      </c>
      <c r="L42" s="148">
        <f>100*144</f>
        <v>14400</v>
      </c>
      <c r="M42" s="492">
        <f>SUM(K42:L51)</f>
        <v>220000</v>
      </c>
      <c r="N42" s="148">
        <f>100*144</f>
        <v>14400</v>
      </c>
      <c r="O42" s="148">
        <f>100*144</f>
        <v>14400</v>
      </c>
      <c r="P42" s="149"/>
      <c r="Q42" s="149"/>
      <c r="R42" s="492"/>
      <c r="S42" s="58"/>
      <c r="T42" s="58">
        <v>14400</v>
      </c>
      <c r="U42" s="58">
        <v>14400</v>
      </c>
      <c r="V42" s="58"/>
      <c r="W42" s="58">
        <f>S42+T42+U42-V42</f>
        <v>28800</v>
      </c>
      <c r="X42" s="484" t="s">
        <v>101</v>
      </c>
      <c r="Y42" s="487" t="s">
        <v>226</v>
      </c>
    </row>
    <row r="43" spans="2:27" s="44" customFormat="1" ht="23.25">
      <c r="B43" s="496"/>
      <c r="C43" s="485"/>
      <c r="D43" s="56" t="s">
        <v>146</v>
      </c>
      <c r="E43" s="56" t="s">
        <v>17</v>
      </c>
      <c r="F43" s="57">
        <v>96</v>
      </c>
      <c r="G43" s="490"/>
      <c r="H43" s="490"/>
      <c r="I43" s="493"/>
      <c r="J43" s="58"/>
      <c r="K43" s="58">
        <v>9600</v>
      </c>
      <c r="L43" s="148">
        <v>9600</v>
      </c>
      <c r="M43" s="493"/>
      <c r="N43" s="148">
        <v>9600</v>
      </c>
      <c r="O43" s="148">
        <v>9600</v>
      </c>
      <c r="P43" s="151"/>
      <c r="Q43" s="151"/>
      <c r="R43" s="493"/>
      <c r="S43" s="58"/>
      <c r="T43" s="58">
        <v>9600</v>
      </c>
      <c r="U43" s="58">
        <v>10208</v>
      </c>
      <c r="V43" s="58"/>
      <c r="W43" s="58">
        <f t="shared" si="3"/>
        <v>19808</v>
      </c>
      <c r="X43" s="485"/>
      <c r="Y43" s="488"/>
    </row>
    <row r="44" spans="2:27" s="44" customFormat="1" ht="23.25">
      <c r="B44" s="496"/>
      <c r="C44" s="485"/>
      <c r="D44" s="56" t="s">
        <v>147</v>
      </c>
      <c r="E44" s="56" t="s">
        <v>18</v>
      </c>
      <c r="F44" s="57">
        <v>96</v>
      </c>
      <c r="G44" s="490"/>
      <c r="H44" s="490"/>
      <c r="I44" s="493"/>
      <c r="J44" s="58"/>
      <c r="K44" s="58">
        <v>9600</v>
      </c>
      <c r="L44" s="148">
        <v>9600</v>
      </c>
      <c r="M44" s="493"/>
      <c r="N44" s="148">
        <v>9600</v>
      </c>
      <c r="O44" s="148">
        <v>9600</v>
      </c>
      <c r="P44" s="151"/>
      <c r="Q44" s="151"/>
      <c r="R44" s="493"/>
      <c r="S44" s="58"/>
      <c r="T44" s="58">
        <v>9600</v>
      </c>
      <c r="U44" s="58">
        <v>10208</v>
      </c>
      <c r="V44" s="58"/>
      <c r="W44" s="58">
        <f t="shared" si="3"/>
        <v>19808</v>
      </c>
      <c r="X44" s="485"/>
      <c r="Y44" s="488"/>
    </row>
    <row r="45" spans="2:27" s="44" customFormat="1" ht="23.25">
      <c r="B45" s="496"/>
      <c r="C45" s="485"/>
      <c r="D45" s="56" t="s">
        <v>148</v>
      </c>
      <c r="E45" s="56" t="s">
        <v>19</v>
      </c>
      <c r="F45" s="57">
        <v>96</v>
      </c>
      <c r="G45" s="490"/>
      <c r="H45" s="490"/>
      <c r="I45" s="493"/>
      <c r="J45" s="58"/>
      <c r="K45" s="58">
        <v>9600</v>
      </c>
      <c r="L45" s="148">
        <v>9600</v>
      </c>
      <c r="M45" s="493"/>
      <c r="N45" s="148">
        <v>9600</v>
      </c>
      <c r="O45" s="148">
        <v>9600</v>
      </c>
      <c r="P45" s="151"/>
      <c r="Q45" s="151"/>
      <c r="R45" s="493"/>
      <c r="S45" s="58"/>
      <c r="T45" s="58">
        <f t="shared" ref="T45:T48" si="5">100*102.08</f>
        <v>10208</v>
      </c>
      <c r="U45" s="58">
        <v>10208</v>
      </c>
      <c r="V45" s="58"/>
      <c r="W45" s="58">
        <f t="shared" si="3"/>
        <v>20416</v>
      </c>
      <c r="X45" s="485"/>
      <c r="Y45" s="488"/>
    </row>
    <row r="46" spans="2:27" s="44" customFormat="1" ht="23.25">
      <c r="B46" s="496"/>
      <c r="C46" s="485"/>
      <c r="D46" s="56" t="s">
        <v>149</v>
      </c>
      <c r="E46" s="56" t="s">
        <v>20</v>
      </c>
      <c r="F46" s="57">
        <v>118</v>
      </c>
      <c r="G46" s="490"/>
      <c r="H46" s="490"/>
      <c r="I46" s="493"/>
      <c r="J46" s="58"/>
      <c r="K46" s="58">
        <v>11800</v>
      </c>
      <c r="L46" s="148">
        <v>11800</v>
      </c>
      <c r="M46" s="493"/>
      <c r="N46" s="148">
        <v>11800</v>
      </c>
      <c r="O46" s="148">
        <v>11800</v>
      </c>
      <c r="P46" s="151"/>
      <c r="Q46" s="151"/>
      <c r="R46" s="493"/>
      <c r="S46" s="58"/>
      <c r="T46" s="58">
        <f t="shared" si="5"/>
        <v>10208</v>
      </c>
      <c r="U46" s="58">
        <v>10208</v>
      </c>
      <c r="V46" s="58"/>
      <c r="W46" s="58">
        <f t="shared" si="3"/>
        <v>20416</v>
      </c>
      <c r="X46" s="485"/>
      <c r="Y46" s="488"/>
    </row>
    <row r="47" spans="2:27" s="44" customFormat="1" ht="23.25">
      <c r="B47" s="496"/>
      <c r="C47" s="485"/>
      <c r="D47" s="56" t="s">
        <v>150</v>
      </c>
      <c r="E47" s="56" t="s">
        <v>20</v>
      </c>
      <c r="F47" s="57">
        <v>118</v>
      </c>
      <c r="G47" s="490"/>
      <c r="H47" s="490"/>
      <c r="I47" s="493"/>
      <c r="J47" s="58"/>
      <c r="K47" s="58">
        <v>11800</v>
      </c>
      <c r="L47" s="148">
        <v>11800</v>
      </c>
      <c r="M47" s="493"/>
      <c r="N47" s="148">
        <v>11800</v>
      </c>
      <c r="O47" s="148">
        <v>11800</v>
      </c>
      <c r="P47" s="151"/>
      <c r="Q47" s="151"/>
      <c r="R47" s="493"/>
      <c r="S47" s="58"/>
      <c r="T47" s="58">
        <f>100*102.08</f>
        <v>10208</v>
      </c>
      <c r="U47" s="58">
        <v>10208</v>
      </c>
      <c r="V47" s="58"/>
      <c r="W47" s="58">
        <f t="shared" si="3"/>
        <v>20416</v>
      </c>
      <c r="X47" s="485"/>
      <c r="Y47" s="488"/>
    </row>
    <row r="48" spans="2:27" s="44" customFormat="1" ht="23.25">
      <c r="B48" s="496"/>
      <c r="C48" s="485"/>
      <c r="D48" s="56" t="s">
        <v>151</v>
      </c>
      <c r="E48" s="56" t="s">
        <v>21</v>
      </c>
      <c r="F48" s="57">
        <v>96</v>
      </c>
      <c r="G48" s="490"/>
      <c r="H48" s="490"/>
      <c r="I48" s="493"/>
      <c r="J48" s="58"/>
      <c r="K48" s="58">
        <v>9600</v>
      </c>
      <c r="L48" s="148">
        <v>9600</v>
      </c>
      <c r="M48" s="493"/>
      <c r="N48" s="148">
        <v>9600</v>
      </c>
      <c r="O48" s="148">
        <v>9600</v>
      </c>
      <c r="P48" s="151"/>
      <c r="Q48" s="151"/>
      <c r="R48" s="493"/>
      <c r="S48" s="58"/>
      <c r="T48" s="58">
        <f t="shared" si="5"/>
        <v>10208</v>
      </c>
      <c r="U48" s="58">
        <v>10208</v>
      </c>
      <c r="V48" s="58"/>
      <c r="W48" s="58">
        <f t="shared" si="3"/>
        <v>20416</v>
      </c>
      <c r="X48" s="485"/>
      <c r="Y48" s="488"/>
    </row>
    <row r="49" spans="2:25" s="44" customFormat="1" ht="23.25">
      <c r="B49" s="496"/>
      <c r="C49" s="485"/>
      <c r="D49" s="56" t="s">
        <v>152</v>
      </c>
      <c r="E49" s="56" t="s">
        <v>12</v>
      </c>
      <c r="F49" s="57">
        <v>96</v>
      </c>
      <c r="G49" s="490"/>
      <c r="H49" s="490"/>
      <c r="I49" s="493"/>
      <c r="J49" s="58"/>
      <c r="K49" s="58">
        <v>9600</v>
      </c>
      <c r="L49" s="148">
        <v>9600</v>
      </c>
      <c r="M49" s="493"/>
      <c r="N49" s="148">
        <v>9600</v>
      </c>
      <c r="O49" s="148">
        <v>9600</v>
      </c>
      <c r="P49" s="151"/>
      <c r="Q49" s="151"/>
      <c r="R49" s="493"/>
      <c r="S49" s="58"/>
      <c r="T49" s="58">
        <f>100*98</f>
        <v>9800</v>
      </c>
      <c r="U49" s="58">
        <v>9800</v>
      </c>
      <c r="V49" s="58">
        <v>9800</v>
      </c>
      <c r="W49" s="58">
        <f t="shared" si="3"/>
        <v>9800</v>
      </c>
      <c r="X49" s="485"/>
      <c r="Y49" s="488"/>
    </row>
    <row r="50" spans="2:25" s="44" customFormat="1" ht="23.25">
      <c r="B50" s="496"/>
      <c r="C50" s="485"/>
      <c r="D50" s="56" t="s">
        <v>153</v>
      </c>
      <c r="E50" s="56" t="s">
        <v>22</v>
      </c>
      <c r="F50" s="57">
        <v>96</v>
      </c>
      <c r="G50" s="490"/>
      <c r="H50" s="490"/>
      <c r="I50" s="493"/>
      <c r="J50" s="58"/>
      <c r="K50" s="58">
        <v>9600</v>
      </c>
      <c r="L50" s="148">
        <v>9600</v>
      </c>
      <c r="M50" s="493"/>
      <c r="N50" s="148">
        <v>9600</v>
      </c>
      <c r="O50" s="148">
        <v>9600</v>
      </c>
      <c r="P50" s="151"/>
      <c r="Q50" s="151"/>
      <c r="R50" s="493"/>
      <c r="S50" s="58"/>
      <c r="T50" s="58">
        <f>100*102.08</f>
        <v>10208</v>
      </c>
      <c r="U50" s="58">
        <v>10208</v>
      </c>
      <c r="V50" s="58"/>
      <c r="W50" s="58">
        <f t="shared" si="3"/>
        <v>20416</v>
      </c>
      <c r="X50" s="485"/>
      <c r="Y50" s="488"/>
    </row>
    <row r="51" spans="2:25" s="44" customFormat="1" ht="24" thickBot="1">
      <c r="B51" s="499"/>
      <c r="C51" s="486"/>
      <c r="D51" s="68" t="s">
        <v>154</v>
      </c>
      <c r="E51" s="68" t="s">
        <v>13</v>
      </c>
      <c r="F51" s="69">
        <v>144</v>
      </c>
      <c r="G51" s="497"/>
      <c r="H51" s="497"/>
      <c r="I51" s="494"/>
      <c r="J51" s="70"/>
      <c r="K51" s="70">
        <v>14400</v>
      </c>
      <c r="L51" s="153">
        <v>14400</v>
      </c>
      <c r="M51" s="495"/>
      <c r="N51" s="153">
        <v>14400</v>
      </c>
      <c r="O51" s="153">
        <v>14400</v>
      </c>
      <c r="P51" s="152"/>
      <c r="Q51" s="152"/>
      <c r="R51" s="495"/>
      <c r="S51" s="70"/>
      <c r="T51" s="70">
        <f>100*150.06</f>
        <v>15006</v>
      </c>
      <c r="U51" s="70">
        <v>15006</v>
      </c>
      <c r="V51" s="70"/>
      <c r="W51" s="70">
        <f t="shared" si="3"/>
        <v>30012</v>
      </c>
      <c r="X51" s="486"/>
      <c r="Y51" s="489"/>
    </row>
    <row r="52" spans="2:25" s="71" customFormat="1" ht="27.75" thickTop="1" thickBot="1">
      <c r="B52" s="500" t="s">
        <v>47</v>
      </c>
      <c r="C52" s="501"/>
      <c r="D52" s="501"/>
      <c r="E52" s="501"/>
      <c r="F52" s="501"/>
      <c r="G52" s="72">
        <f t="shared" ref="G52:L52" si="6">SUM(G4:G51)</f>
        <v>2646018</v>
      </c>
      <c r="H52" s="72">
        <f t="shared" si="6"/>
        <v>2108722</v>
      </c>
      <c r="I52" s="72">
        <f t="shared" si="6"/>
        <v>4754740</v>
      </c>
      <c r="J52" s="72">
        <f t="shared" si="6"/>
        <v>158855</v>
      </c>
      <c r="K52" s="72">
        <f t="shared" si="6"/>
        <v>561505</v>
      </c>
      <c r="L52" s="72">
        <f t="shared" si="6"/>
        <v>992505</v>
      </c>
      <c r="M52" s="72" t="e">
        <f t="shared" ref="M52:W52" si="7">SUM(M4:M51)</f>
        <v>#VALUE!</v>
      </c>
      <c r="N52" s="72">
        <f t="shared" si="7"/>
        <v>124400</v>
      </c>
      <c r="O52" s="72">
        <f t="shared" si="7"/>
        <v>124400</v>
      </c>
      <c r="P52" s="72">
        <f t="shared" si="7"/>
        <v>14400</v>
      </c>
      <c r="Q52" s="72">
        <f t="shared" si="7"/>
        <v>14400</v>
      </c>
      <c r="R52" s="72">
        <f t="shared" si="7"/>
        <v>905830</v>
      </c>
      <c r="S52" s="72">
        <f t="shared" si="7"/>
        <v>138695</v>
      </c>
      <c r="T52" s="72">
        <f t="shared" si="7"/>
        <v>357551</v>
      </c>
      <c r="U52" s="72">
        <f t="shared" si="7"/>
        <v>973007</v>
      </c>
      <c r="V52" s="72">
        <f t="shared" si="7"/>
        <v>364847</v>
      </c>
      <c r="W52" s="72">
        <f t="shared" si="7"/>
        <v>1104406</v>
      </c>
      <c r="X52" s="73"/>
      <c r="Y52" s="74"/>
    </row>
    <row r="53" spans="2:25" ht="15.75" thickTop="1"/>
    <row r="57" spans="2:25" ht="15.75" thickBot="1"/>
    <row r="58" spans="2:25" ht="24.75" thickTop="1" thickBot="1">
      <c r="B58" s="405" t="s">
        <v>58</v>
      </c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7"/>
      <c r="V58" s="36"/>
      <c r="W58" s="20"/>
    </row>
    <row r="59" spans="2:25" ht="43.5" thickTop="1" thickBot="1">
      <c r="B59" s="21" t="s">
        <v>67</v>
      </c>
      <c r="C59" s="22" t="s">
        <v>0</v>
      </c>
      <c r="D59" s="22" t="s">
        <v>1</v>
      </c>
      <c r="E59" s="22" t="s">
        <v>2</v>
      </c>
      <c r="F59" s="23" t="s">
        <v>45</v>
      </c>
      <c r="G59" s="23"/>
      <c r="H59" s="23"/>
      <c r="I59" s="23"/>
      <c r="J59" s="23"/>
      <c r="K59" s="23" t="s">
        <v>66</v>
      </c>
      <c r="L59" s="23"/>
      <c r="M59" s="23"/>
      <c r="N59" s="23"/>
      <c r="O59" s="23"/>
      <c r="P59" s="23"/>
      <c r="Q59" s="23"/>
      <c r="R59" s="23"/>
      <c r="S59" s="42"/>
      <c r="T59" s="42"/>
      <c r="U59" s="24" t="s">
        <v>74</v>
      </c>
      <c r="V59" s="31"/>
      <c r="W59" s="31"/>
    </row>
    <row r="60" spans="2:25" ht="16.5" thickTop="1">
      <c r="B60" s="25">
        <v>1</v>
      </c>
      <c r="C60" s="26" t="s">
        <v>48</v>
      </c>
      <c r="D60" s="15" t="s">
        <v>63</v>
      </c>
      <c r="E60" s="27"/>
      <c r="F60" s="28">
        <v>20000</v>
      </c>
      <c r="G60" s="28"/>
      <c r="H60" s="28"/>
      <c r="I60" s="28"/>
      <c r="J60" s="28"/>
      <c r="K60" s="28">
        <v>100000</v>
      </c>
      <c r="L60" s="28"/>
      <c r="M60" s="28"/>
      <c r="N60" s="28"/>
      <c r="O60" s="28"/>
      <c r="P60" s="28"/>
      <c r="Q60" s="28"/>
      <c r="R60" s="28"/>
      <c r="S60" s="28"/>
      <c r="T60" s="28"/>
      <c r="U60" s="9"/>
    </row>
    <row r="61" spans="2:25" ht="15.75">
      <c r="B61" s="29">
        <v>2</v>
      </c>
      <c r="C61" s="13" t="s">
        <v>49</v>
      </c>
      <c r="D61" s="2" t="s">
        <v>63</v>
      </c>
      <c r="E61" s="3"/>
      <c r="F61" s="17">
        <v>30000</v>
      </c>
      <c r="G61" s="17"/>
      <c r="H61" s="17"/>
      <c r="I61" s="81"/>
      <c r="J61" s="38"/>
      <c r="K61" s="17">
        <v>90000</v>
      </c>
      <c r="L61" s="38"/>
      <c r="M61" s="84"/>
      <c r="N61" s="84"/>
      <c r="O61" s="84"/>
      <c r="P61" s="84"/>
      <c r="Q61" s="84"/>
      <c r="R61" s="35"/>
      <c r="S61" s="38"/>
      <c r="T61" s="38"/>
      <c r="U61" s="10"/>
    </row>
    <row r="62" spans="2:25" ht="15.75">
      <c r="B62" s="29">
        <v>3</v>
      </c>
      <c r="C62" s="13" t="s">
        <v>70</v>
      </c>
      <c r="D62" s="2" t="s">
        <v>71</v>
      </c>
      <c r="E62" s="3" t="s">
        <v>72</v>
      </c>
      <c r="F62" s="17">
        <v>50000</v>
      </c>
      <c r="G62" s="17"/>
      <c r="H62" s="17"/>
      <c r="I62" s="81"/>
      <c r="J62" s="38"/>
      <c r="K62" s="17">
        <v>150000</v>
      </c>
      <c r="L62" s="38"/>
      <c r="M62" s="84"/>
      <c r="N62" s="84"/>
      <c r="O62" s="84"/>
      <c r="P62" s="84"/>
      <c r="Q62" s="84"/>
      <c r="R62" s="35"/>
      <c r="S62" s="38"/>
      <c r="T62" s="38"/>
      <c r="U62" s="10"/>
    </row>
    <row r="63" spans="2:25" ht="15.75">
      <c r="B63" s="29">
        <v>4</v>
      </c>
      <c r="C63" s="13" t="s">
        <v>50</v>
      </c>
      <c r="D63" s="2" t="s">
        <v>37</v>
      </c>
      <c r="E63" s="3" t="s">
        <v>38</v>
      </c>
      <c r="F63" s="17">
        <v>30000</v>
      </c>
      <c r="G63" s="17"/>
      <c r="H63" s="17"/>
      <c r="I63" s="81"/>
      <c r="J63" s="38"/>
      <c r="K63" s="17">
        <v>120000</v>
      </c>
      <c r="L63" s="38"/>
      <c r="M63" s="84"/>
      <c r="N63" s="84"/>
      <c r="O63" s="84"/>
      <c r="P63" s="84"/>
      <c r="Q63" s="84"/>
      <c r="R63" s="35"/>
      <c r="S63" s="38"/>
      <c r="T63" s="38"/>
      <c r="U63" s="10"/>
    </row>
    <row r="64" spans="2:25" ht="15.75">
      <c r="B64" s="29">
        <v>5</v>
      </c>
      <c r="C64" s="14" t="s">
        <v>52</v>
      </c>
      <c r="D64" s="6" t="s">
        <v>61</v>
      </c>
      <c r="E64" s="7" t="s">
        <v>62</v>
      </c>
      <c r="F64" s="8">
        <v>15000</v>
      </c>
      <c r="G64" s="8"/>
      <c r="H64" s="8"/>
      <c r="I64" s="8"/>
      <c r="J64" s="8"/>
      <c r="K64" s="17">
        <v>50000</v>
      </c>
      <c r="L64" s="38"/>
      <c r="M64" s="84"/>
      <c r="N64" s="84"/>
      <c r="O64" s="84"/>
      <c r="P64" s="84"/>
      <c r="Q64" s="84"/>
      <c r="R64" s="35"/>
      <c r="S64" s="38"/>
      <c r="T64" s="38"/>
      <c r="U64" s="10"/>
    </row>
    <row r="65" spans="2:25" ht="15.75">
      <c r="B65" s="29">
        <v>6</v>
      </c>
      <c r="C65" s="13" t="s">
        <v>54</v>
      </c>
      <c r="D65" s="2" t="s">
        <v>41</v>
      </c>
      <c r="E65" s="3" t="s">
        <v>40</v>
      </c>
      <c r="F65" s="17">
        <v>35000</v>
      </c>
      <c r="G65" s="17"/>
      <c r="H65" s="17"/>
      <c r="I65" s="81"/>
      <c r="J65" s="38"/>
      <c r="K65" s="17">
        <v>105000</v>
      </c>
      <c r="L65" s="38"/>
      <c r="M65" s="84"/>
      <c r="N65" s="84"/>
      <c r="O65" s="84"/>
      <c r="P65" s="84"/>
      <c r="Q65" s="84"/>
      <c r="R65" s="35"/>
      <c r="S65" s="38"/>
      <c r="T65" s="38"/>
      <c r="U65" s="10"/>
    </row>
    <row r="66" spans="2:25" ht="15.75">
      <c r="B66" s="29">
        <v>7</v>
      </c>
      <c r="C66" s="13" t="s">
        <v>56</v>
      </c>
      <c r="D66" s="2" t="s">
        <v>43</v>
      </c>
      <c r="E66" s="3" t="s">
        <v>42</v>
      </c>
      <c r="F66" s="17">
        <v>25000</v>
      </c>
      <c r="G66" s="17"/>
      <c r="H66" s="17"/>
      <c r="I66" s="81"/>
      <c r="J66" s="38"/>
      <c r="K66" s="17">
        <v>45000</v>
      </c>
      <c r="L66" s="38"/>
      <c r="M66" s="84"/>
      <c r="N66" s="84"/>
      <c r="O66" s="84"/>
      <c r="P66" s="84"/>
      <c r="Q66" s="84"/>
      <c r="R66" s="35"/>
      <c r="S66" s="38"/>
      <c r="T66" s="38"/>
      <c r="U66" s="10"/>
    </row>
    <row r="67" spans="2:25" ht="15.75">
      <c r="B67" s="29">
        <v>8</v>
      </c>
      <c r="C67" s="14" t="s">
        <v>57</v>
      </c>
      <c r="D67" s="2" t="s">
        <v>59</v>
      </c>
      <c r="E67" s="7" t="s">
        <v>60</v>
      </c>
      <c r="F67" s="8">
        <v>50000</v>
      </c>
      <c r="G67" s="8"/>
      <c r="H67" s="8"/>
      <c r="I67" s="8"/>
      <c r="J67" s="8"/>
      <c r="K67" s="17">
        <v>100000</v>
      </c>
      <c r="L67" s="38"/>
      <c r="M67" s="84"/>
      <c r="N67" s="84"/>
      <c r="O67" s="84"/>
      <c r="P67" s="84"/>
      <c r="Q67" s="84"/>
      <c r="R67" s="35"/>
      <c r="S67" s="38"/>
      <c r="T67" s="38"/>
      <c r="U67" s="10"/>
    </row>
    <row r="68" spans="2:25" ht="16.5" thickBot="1">
      <c r="B68" s="5">
        <v>7</v>
      </c>
      <c r="C68" s="13" t="s">
        <v>51</v>
      </c>
      <c r="D68" s="2" t="s">
        <v>39</v>
      </c>
      <c r="E68" s="2"/>
      <c r="F68" s="3" t="s">
        <v>40</v>
      </c>
      <c r="G68" s="12">
        <v>30000</v>
      </c>
      <c r="H68" s="17">
        <v>15000</v>
      </c>
      <c r="I68" s="81"/>
      <c r="J68" s="38"/>
      <c r="K68" s="17">
        <v>15000</v>
      </c>
      <c r="L68" s="38"/>
      <c r="M68" s="84"/>
      <c r="N68" s="84"/>
      <c r="O68" s="84"/>
      <c r="P68" s="84"/>
      <c r="Q68" s="84"/>
      <c r="R68" s="38"/>
      <c r="S68" s="38"/>
      <c r="T68" s="38"/>
      <c r="U68" s="17"/>
      <c r="V68" s="33"/>
      <c r="W68" s="39">
        <f>S68+T68+U68-V68</f>
        <v>0</v>
      </c>
      <c r="X68" s="2"/>
      <c r="Y68" s="40"/>
    </row>
    <row r="69" spans="2:25" ht="20.25" thickTop="1" thickBot="1">
      <c r="B69" s="403" t="s">
        <v>47</v>
      </c>
      <c r="C69" s="404"/>
      <c r="D69" s="404"/>
      <c r="E69" s="404"/>
      <c r="F69" s="18">
        <f>SUM(F60:F67)</f>
        <v>255000</v>
      </c>
      <c r="G69" s="18"/>
      <c r="H69" s="18"/>
      <c r="I69" s="18"/>
      <c r="J69" s="18"/>
      <c r="K69" s="18">
        <f t="shared" ref="K69" si="8">SUM(K60:K67)</f>
        <v>760000</v>
      </c>
      <c r="L69" s="18"/>
      <c r="M69" s="18"/>
      <c r="N69" s="18"/>
      <c r="O69" s="18"/>
      <c r="P69" s="18"/>
      <c r="Q69" s="18"/>
      <c r="R69" s="18"/>
      <c r="S69" s="43"/>
      <c r="T69" s="43"/>
      <c r="U69" s="30"/>
      <c r="V69" s="32"/>
      <c r="W69" s="32"/>
    </row>
    <row r="70" spans="2:25" ht="15.75" thickTop="1"/>
  </sheetData>
  <autoFilter ref="B3:U52"/>
  <mergeCells count="78">
    <mergeCell ref="M21:M24"/>
    <mergeCell ref="M27:M38"/>
    <mergeCell ref="S2:Y2"/>
    <mergeCell ref="C1:K1"/>
    <mergeCell ref="C21:C24"/>
    <mergeCell ref="G21:G24"/>
    <mergeCell ref="H21:H24"/>
    <mergeCell ref="X7:X8"/>
    <mergeCell ref="Y7:Y8"/>
    <mergeCell ref="S7:S8"/>
    <mergeCell ref="T7:T8"/>
    <mergeCell ref="Y9:Y10"/>
    <mergeCell ref="X9:X10"/>
    <mergeCell ref="L9:L10"/>
    <mergeCell ref="R9:R10"/>
    <mergeCell ref="U7:U8"/>
    <mergeCell ref="V7:V8"/>
    <mergeCell ref="M7:M8"/>
    <mergeCell ref="W7:W8"/>
    <mergeCell ref="B11:B17"/>
    <mergeCell ref="B9:B10"/>
    <mergeCell ref="B7:B8"/>
    <mergeCell ref="J9:J10"/>
    <mergeCell ref="K9:K10"/>
    <mergeCell ref="G9:G10"/>
    <mergeCell ref="H9:H10"/>
    <mergeCell ref="C9:C10"/>
    <mergeCell ref="I9:I10"/>
    <mergeCell ref="I11:I17"/>
    <mergeCell ref="M9:M10"/>
    <mergeCell ref="M11:M17"/>
    <mergeCell ref="A2:R2"/>
    <mergeCell ref="C7:C8"/>
    <mergeCell ref="G7:G8"/>
    <mergeCell ref="H7:H8"/>
    <mergeCell ref="J7:J8"/>
    <mergeCell ref="K7:K8"/>
    <mergeCell ref="L7:L8"/>
    <mergeCell ref="R7:R8"/>
    <mergeCell ref="I7:I8"/>
    <mergeCell ref="G27:G38"/>
    <mergeCell ref="H27:H38"/>
    <mergeCell ref="B69:E69"/>
    <mergeCell ref="B58:U58"/>
    <mergeCell ref="B52:F52"/>
    <mergeCell ref="M42:M51"/>
    <mergeCell ref="R21:R24"/>
    <mergeCell ref="R42:R51"/>
    <mergeCell ref="R27:R38"/>
    <mergeCell ref="L21:L24"/>
    <mergeCell ref="B18:B19"/>
    <mergeCell ref="C42:C51"/>
    <mergeCell ref="G42:G51"/>
    <mergeCell ref="H42:H51"/>
    <mergeCell ref="I18:I19"/>
    <mergeCell ref="I21:I24"/>
    <mergeCell ref="C18:C19"/>
    <mergeCell ref="H18:H19"/>
    <mergeCell ref="G18:G19"/>
    <mergeCell ref="B42:B51"/>
    <mergeCell ref="K21:K24"/>
    <mergeCell ref="C27:C38"/>
    <mergeCell ref="X42:X51"/>
    <mergeCell ref="Y42:Y51"/>
    <mergeCell ref="C11:C17"/>
    <mergeCell ref="G11:G17"/>
    <mergeCell ref="H11:H17"/>
    <mergeCell ref="X11:X17"/>
    <mergeCell ref="Y11:Y17"/>
    <mergeCell ref="Y21:Y24"/>
    <mergeCell ref="X21:X24"/>
    <mergeCell ref="Y27:Y38"/>
    <mergeCell ref="X27:X38"/>
    <mergeCell ref="R11:R17"/>
    <mergeCell ref="X18:X19"/>
    <mergeCell ref="Y18:Y19"/>
    <mergeCell ref="I27:I38"/>
    <mergeCell ref="I42:I51"/>
  </mergeCells>
  <conditionalFormatting sqref="D4">
    <cfRule type="duplicateValues" dxfId="95" priority="63"/>
    <cfRule type="duplicateValues" dxfId="94" priority="64"/>
  </conditionalFormatting>
  <conditionalFormatting sqref="D25">
    <cfRule type="duplicateValues" dxfId="93" priority="53"/>
    <cfRule type="duplicateValues" dxfId="92" priority="54"/>
  </conditionalFormatting>
  <conditionalFormatting sqref="D26">
    <cfRule type="duplicateValues" dxfId="91" priority="51"/>
    <cfRule type="duplicateValues" dxfId="90" priority="52"/>
  </conditionalFormatting>
  <conditionalFormatting sqref="D27:D33">
    <cfRule type="duplicateValues" dxfId="89" priority="49"/>
    <cfRule type="duplicateValues" dxfId="88" priority="50"/>
  </conditionalFormatting>
  <conditionalFormatting sqref="D34:D39">
    <cfRule type="duplicateValues" dxfId="87" priority="47"/>
    <cfRule type="duplicateValues" dxfId="86" priority="48"/>
  </conditionalFormatting>
  <conditionalFormatting sqref="D40">
    <cfRule type="duplicateValues" dxfId="85" priority="45"/>
    <cfRule type="duplicateValues" dxfId="84" priority="46"/>
  </conditionalFormatting>
  <conditionalFormatting sqref="D21:D24">
    <cfRule type="duplicateValues" dxfId="83" priority="41"/>
    <cfRule type="duplicateValues" dxfId="82" priority="42"/>
  </conditionalFormatting>
  <conditionalFormatting sqref="D64:D67 D60:D62">
    <cfRule type="duplicateValues" dxfId="81" priority="39"/>
    <cfRule type="duplicateValues" dxfId="80" priority="40"/>
  </conditionalFormatting>
  <conditionalFormatting sqref="D63">
    <cfRule type="duplicateValues" dxfId="79" priority="37"/>
    <cfRule type="duplicateValues" dxfId="78" priority="38"/>
  </conditionalFormatting>
  <conditionalFormatting sqref="D42:D51">
    <cfRule type="duplicateValues" dxfId="77" priority="33"/>
    <cfRule type="duplicateValues" dxfId="76" priority="34"/>
  </conditionalFormatting>
  <conditionalFormatting sqref="D42:D51">
    <cfRule type="duplicateValues" dxfId="75" priority="35"/>
    <cfRule type="duplicateValues" dxfId="74" priority="36"/>
  </conditionalFormatting>
  <conditionalFormatting sqref="D21:D41 D68 D4">
    <cfRule type="duplicateValues" dxfId="73" priority="117"/>
    <cfRule type="duplicateValues" dxfId="72" priority="118"/>
  </conditionalFormatting>
  <conditionalFormatting sqref="D6">
    <cfRule type="duplicateValues" dxfId="71" priority="25"/>
    <cfRule type="duplicateValues" dxfId="70" priority="26"/>
  </conditionalFormatting>
  <conditionalFormatting sqref="D5">
    <cfRule type="duplicateValues" dxfId="69" priority="27"/>
    <cfRule type="duplicateValues" dxfId="68" priority="28"/>
  </conditionalFormatting>
  <conditionalFormatting sqref="D6">
    <cfRule type="duplicateValues" dxfId="67" priority="23"/>
    <cfRule type="duplicateValues" dxfId="66" priority="24"/>
  </conditionalFormatting>
  <conditionalFormatting sqref="D8">
    <cfRule type="duplicateValues" dxfId="65" priority="19"/>
    <cfRule type="duplicateValues" dxfId="64" priority="20"/>
  </conditionalFormatting>
  <conditionalFormatting sqref="D7:D8">
    <cfRule type="duplicateValues" dxfId="63" priority="21"/>
    <cfRule type="duplicateValues" dxfId="62" priority="22"/>
  </conditionalFormatting>
  <conditionalFormatting sqref="D9:D11">
    <cfRule type="duplicateValues" dxfId="61" priority="15"/>
    <cfRule type="duplicateValues" dxfId="60" priority="16"/>
  </conditionalFormatting>
  <conditionalFormatting sqref="D15:D17">
    <cfRule type="duplicateValues" dxfId="59" priority="9"/>
    <cfRule type="duplicateValues" dxfId="58" priority="10"/>
  </conditionalFormatting>
  <conditionalFormatting sqref="D12:D14">
    <cfRule type="duplicateValues" dxfId="57" priority="127"/>
    <cfRule type="duplicateValues" dxfId="56" priority="128"/>
  </conditionalFormatting>
  <conditionalFormatting sqref="D12:D17">
    <cfRule type="duplicateValues" dxfId="55" priority="129"/>
    <cfRule type="duplicateValues" dxfId="54" priority="130"/>
  </conditionalFormatting>
  <conditionalFormatting sqref="D18:D19">
    <cfRule type="duplicateValues" dxfId="53" priority="5"/>
    <cfRule type="duplicateValues" dxfId="52" priority="6"/>
  </conditionalFormatting>
  <conditionalFormatting sqref="D18:D19">
    <cfRule type="duplicateValues" dxfId="51" priority="7"/>
    <cfRule type="duplicateValues" dxfId="50" priority="8"/>
  </conditionalFormatting>
  <conditionalFormatting sqref="D20">
    <cfRule type="duplicateValues" dxfId="49" priority="1"/>
    <cfRule type="duplicateValues" dxfId="48" priority="2"/>
  </conditionalFormatting>
  <conditionalFormatting sqref="D20">
    <cfRule type="duplicateValues" dxfId="47" priority="3"/>
    <cfRule type="duplicateValues" dxfId="46" priority="4"/>
  </conditionalFormatting>
  <pageMargins left="0.25" right="0.25" top="0.75" bottom="0.75" header="0.3" footer="0.3"/>
  <pageSetup paperSize="5" scale="1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opLeftCell="N1" zoomScale="40" zoomScaleNormal="40" workbookViewId="0">
      <selection activeCell="Q6" sqref="Q6:Q7"/>
    </sheetView>
  </sheetViews>
  <sheetFormatPr defaultRowHeight="15"/>
  <cols>
    <col min="1" max="1" width="9.140625" customWidth="1"/>
    <col min="2" max="2" width="17.140625" bestFit="1" customWidth="1"/>
    <col min="3" max="3" width="44.85546875" bestFit="1" customWidth="1"/>
    <col min="4" max="4" width="26.28515625" bestFit="1" customWidth="1"/>
    <col min="5" max="5" width="66.28515625" bestFit="1" customWidth="1"/>
    <col min="6" max="6" width="20.5703125" bestFit="1" customWidth="1"/>
    <col min="7" max="7" width="36.28515625" bestFit="1" customWidth="1"/>
    <col min="8" max="8" width="67.7109375" bestFit="1" customWidth="1"/>
    <col min="9" max="9" width="40.140625" bestFit="1" customWidth="1"/>
    <col min="10" max="10" width="32.28515625" bestFit="1" customWidth="1"/>
    <col min="11" max="12" width="35.5703125" bestFit="1" customWidth="1"/>
    <col min="13" max="13" width="71.28515625" bestFit="1" customWidth="1"/>
    <col min="14" max="14" width="78.7109375" bestFit="1" customWidth="1"/>
    <col min="15" max="16" width="32.28515625" bestFit="1" customWidth="1"/>
    <col min="17" max="17" width="62" customWidth="1"/>
    <col min="18" max="20" width="32.28515625" bestFit="1" customWidth="1"/>
    <col min="21" max="22" width="32.28515625" style="147" customWidth="1"/>
    <col min="23" max="23" width="35.5703125" bestFit="1" customWidth="1"/>
    <col min="24" max="24" width="64.28515625" bestFit="1" customWidth="1"/>
    <col min="25" max="25" width="58.28515625" customWidth="1"/>
    <col min="26" max="26" width="94.7109375" customWidth="1"/>
  </cols>
  <sheetData>
    <row r="1" spans="1:26" ht="40.5" thickTop="1" thickBot="1">
      <c r="A1" s="508" t="s">
        <v>155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10"/>
      <c r="R1" s="508" t="s">
        <v>156</v>
      </c>
      <c r="S1" s="509"/>
      <c r="T1" s="509"/>
      <c r="U1" s="509"/>
      <c r="V1" s="509"/>
      <c r="W1" s="509"/>
      <c r="X1" s="509"/>
      <c r="Y1" s="509"/>
      <c r="Z1" s="510"/>
    </row>
    <row r="2" spans="1:26" ht="196.5" thickTop="1" thickBot="1">
      <c r="A2" s="155"/>
      <c r="B2" s="156" t="s">
        <v>67</v>
      </c>
      <c r="C2" s="157" t="s">
        <v>103</v>
      </c>
      <c r="D2" s="158" t="s">
        <v>1</v>
      </c>
      <c r="E2" s="156" t="s">
        <v>46</v>
      </c>
      <c r="F2" s="158" t="s">
        <v>2</v>
      </c>
      <c r="G2" s="159" t="s">
        <v>109</v>
      </c>
      <c r="H2" s="160" t="s">
        <v>111</v>
      </c>
      <c r="I2" s="160" t="s">
        <v>157</v>
      </c>
      <c r="J2" s="160" t="s">
        <v>85</v>
      </c>
      <c r="K2" s="160" t="s">
        <v>80</v>
      </c>
      <c r="L2" s="160" t="s">
        <v>90</v>
      </c>
      <c r="M2" s="160" t="s">
        <v>216</v>
      </c>
      <c r="N2" s="160" t="s">
        <v>220</v>
      </c>
      <c r="O2" s="160" t="s">
        <v>221</v>
      </c>
      <c r="P2" s="160" t="s">
        <v>222</v>
      </c>
      <c r="Q2" s="160" t="s">
        <v>79</v>
      </c>
      <c r="R2" s="161" t="s">
        <v>86</v>
      </c>
      <c r="S2" s="161" t="s">
        <v>78</v>
      </c>
      <c r="T2" s="161" t="s">
        <v>87</v>
      </c>
      <c r="U2" s="161" t="s">
        <v>227</v>
      </c>
      <c r="V2" s="161" t="s">
        <v>228</v>
      </c>
      <c r="W2" s="161" t="s">
        <v>84</v>
      </c>
      <c r="X2" s="161" t="s">
        <v>76</v>
      </c>
      <c r="Y2" s="162" t="s">
        <v>74</v>
      </c>
      <c r="Z2" s="163" t="s">
        <v>77</v>
      </c>
    </row>
    <row r="3" spans="1:26" ht="156.75" thickTop="1">
      <c r="A3" s="155"/>
      <c r="B3" s="164">
        <v>1</v>
      </c>
      <c r="C3" s="165" t="s">
        <v>8</v>
      </c>
      <c r="D3" s="165" t="s">
        <v>112</v>
      </c>
      <c r="E3" s="165" t="s">
        <v>16</v>
      </c>
      <c r="F3" s="166">
        <v>96</v>
      </c>
      <c r="G3" s="167">
        <f>56800</f>
        <v>56800</v>
      </c>
      <c r="H3" s="167">
        <v>43200</v>
      </c>
      <c r="I3" s="167">
        <f>SUM(G3:H3)</f>
        <v>100000</v>
      </c>
      <c r="J3" s="167"/>
      <c r="K3" s="167">
        <v>0</v>
      </c>
      <c r="L3" s="167">
        <v>14400</v>
      </c>
      <c r="M3" s="167">
        <v>14400</v>
      </c>
      <c r="N3" s="167">
        <v>14400</v>
      </c>
      <c r="O3" s="167">
        <v>14400</v>
      </c>
      <c r="P3" s="167">
        <v>14400</v>
      </c>
      <c r="Q3" s="167">
        <f>SUM(P3+O3+N3+M3+L3)</f>
        <v>72000</v>
      </c>
      <c r="R3" s="167"/>
      <c r="S3" s="167"/>
      <c r="T3" s="167">
        <v>14400</v>
      </c>
      <c r="U3" s="167">
        <v>14400</v>
      </c>
      <c r="V3" s="167">
        <v>14400</v>
      </c>
      <c r="W3" s="167">
        <v>144000</v>
      </c>
      <c r="X3" s="167">
        <f>U3+V3</f>
        <v>28800</v>
      </c>
      <c r="Y3" s="168" t="s">
        <v>75</v>
      </c>
      <c r="Z3" s="169" t="s">
        <v>223</v>
      </c>
    </row>
    <row r="4" spans="1:26" ht="156">
      <c r="A4" s="155"/>
      <c r="B4" s="170">
        <v>2</v>
      </c>
      <c r="C4" s="171" t="s">
        <v>3</v>
      </c>
      <c r="D4" s="171" t="s">
        <v>44</v>
      </c>
      <c r="E4" s="171" t="s">
        <v>12</v>
      </c>
      <c r="F4" s="172">
        <v>171.5</v>
      </c>
      <c r="G4" s="173">
        <v>0</v>
      </c>
      <c r="H4" s="173">
        <v>0</v>
      </c>
      <c r="I4" s="173">
        <f t="shared" ref="I4:I40" si="0">SUM(G4:H4)</f>
        <v>0</v>
      </c>
      <c r="J4" s="173">
        <v>34400</v>
      </c>
      <c r="K4" s="173">
        <v>34400</v>
      </c>
      <c r="L4" s="173">
        <v>34400</v>
      </c>
      <c r="M4" s="173"/>
      <c r="N4" s="173"/>
      <c r="O4" s="173"/>
      <c r="P4" s="173"/>
      <c r="Q4" s="173"/>
      <c r="R4" s="173">
        <v>34400</v>
      </c>
      <c r="S4" s="173">
        <v>34400</v>
      </c>
      <c r="T4" s="173">
        <v>34400</v>
      </c>
      <c r="U4" s="173"/>
      <c r="V4" s="173"/>
      <c r="W4" s="173">
        <f>R4+S4+T4</f>
        <v>103200</v>
      </c>
      <c r="X4" s="173">
        <f>R4+S4+T4-W4</f>
        <v>0</v>
      </c>
      <c r="Y4" s="174" t="s">
        <v>93</v>
      </c>
      <c r="Z4" s="175" t="s">
        <v>94</v>
      </c>
    </row>
    <row r="5" spans="1:26" ht="156">
      <c r="A5" s="155"/>
      <c r="B5" s="170">
        <v>3</v>
      </c>
      <c r="C5" s="171" t="s">
        <v>6</v>
      </c>
      <c r="D5" s="171" t="s">
        <v>68</v>
      </c>
      <c r="E5" s="171" t="s">
        <v>13</v>
      </c>
      <c r="F5" s="172">
        <v>147</v>
      </c>
      <c r="G5" s="173">
        <v>0</v>
      </c>
      <c r="H5" s="173">
        <v>0</v>
      </c>
      <c r="I5" s="173">
        <f t="shared" si="0"/>
        <v>0</v>
      </c>
      <c r="J5" s="173">
        <f>157*147</f>
        <v>23079</v>
      </c>
      <c r="K5" s="173">
        <v>23079</v>
      </c>
      <c r="L5" s="173">
        <v>23079</v>
      </c>
      <c r="M5" s="173"/>
      <c r="N5" s="173"/>
      <c r="O5" s="173"/>
      <c r="P5" s="173"/>
      <c r="Q5" s="173"/>
      <c r="R5" s="173">
        <v>23079</v>
      </c>
      <c r="S5" s="173">
        <v>23079</v>
      </c>
      <c r="T5" s="173">
        <v>23079</v>
      </c>
      <c r="U5" s="173"/>
      <c r="V5" s="173"/>
      <c r="W5" s="173">
        <f>R5+S5+T5</f>
        <v>69237</v>
      </c>
      <c r="X5" s="173">
        <f>R5+S5+T5-W5</f>
        <v>0</v>
      </c>
      <c r="Y5" s="174" t="s">
        <v>93</v>
      </c>
      <c r="Z5" s="175" t="s">
        <v>95</v>
      </c>
    </row>
    <row r="6" spans="1:26" ht="39">
      <c r="A6" s="155"/>
      <c r="B6" s="511">
        <v>4</v>
      </c>
      <c r="C6" s="512" t="s">
        <v>107</v>
      </c>
      <c r="D6" s="171" t="s">
        <v>113</v>
      </c>
      <c r="E6" s="171" t="s">
        <v>13</v>
      </c>
      <c r="F6" s="172">
        <v>99</v>
      </c>
      <c r="G6" s="514">
        <v>29400</v>
      </c>
      <c r="H6" s="514">
        <v>29400</v>
      </c>
      <c r="I6" s="506">
        <f>G6+H6</f>
        <v>58800</v>
      </c>
      <c r="J6" s="514">
        <v>29400</v>
      </c>
      <c r="K6" s="514">
        <v>29400</v>
      </c>
      <c r="L6" s="506">
        <v>29400</v>
      </c>
      <c r="M6" s="173"/>
      <c r="N6" s="173"/>
      <c r="O6" s="173"/>
      <c r="P6" s="173"/>
      <c r="Q6" s="514">
        <v>29400</v>
      </c>
      <c r="R6" s="514">
        <v>29400</v>
      </c>
      <c r="S6" s="514">
        <v>29400</v>
      </c>
      <c r="T6" s="514">
        <v>29400</v>
      </c>
      <c r="U6" s="173"/>
      <c r="V6" s="173"/>
      <c r="W6" s="514">
        <f>R6+S6+T6</f>
        <v>88200</v>
      </c>
      <c r="X6" s="514">
        <f>S6+R6+T6-W6</f>
        <v>0</v>
      </c>
      <c r="Y6" s="512" t="s">
        <v>96</v>
      </c>
      <c r="Z6" s="515" t="s">
        <v>95</v>
      </c>
    </row>
    <row r="7" spans="1:26" ht="39">
      <c r="A7" s="155"/>
      <c r="B7" s="511"/>
      <c r="C7" s="513"/>
      <c r="D7" s="171" t="s">
        <v>114</v>
      </c>
      <c r="E7" s="171" t="s">
        <v>13</v>
      </c>
      <c r="F7" s="172">
        <v>96</v>
      </c>
      <c r="G7" s="514"/>
      <c r="H7" s="514"/>
      <c r="I7" s="507"/>
      <c r="J7" s="514"/>
      <c r="K7" s="514"/>
      <c r="L7" s="507"/>
      <c r="M7" s="173"/>
      <c r="N7" s="173"/>
      <c r="O7" s="173"/>
      <c r="P7" s="173"/>
      <c r="Q7" s="514"/>
      <c r="R7" s="514"/>
      <c r="S7" s="514"/>
      <c r="T7" s="514"/>
      <c r="U7" s="173"/>
      <c r="V7" s="173"/>
      <c r="W7" s="514"/>
      <c r="X7" s="514"/>
      <c r="Y7" s="512"/>
      <c r="Z7" s="515"/>
    </row>
    <row r="8" spans="1:26" ht="39">
      <c r="A8" s="155"/>
      <c r="B8" s="511">
        <v>5</v>
      </c>
      <c r="C8" s="513" t="s">
        <v>7</v>
      </c>
      <c r="D8" s="171" t="s">
        <v>115</v>
      </c>
      <c r="E8" s="171" t="s">
        <v>14</v>
      </c>
      <c r="F8" s="172">
        <v>96</v>
      </c>
      <c r="G8" s="514">
        <v>58800</v>
      </c>
      <c r="H8" s="514">
        <v>58800</v>
      </c>
      <c r="I8" s="506">
        <f>SUM(G8:H9)</f>
        <v>117600</v>
      </c>
      <c r="J8" s="514">
        <v>0</v>
      </c>
      <c r="K8" s="514">
        <v>29400</v>
      </c>
      <c r="L8" s="506">
        <v>29400</v>
      </c>
      <c r="M8" s="173"/>
      <c r="N8" s="173"/>
      <c r="O8" s="173"/>
      <c r="P8" s="173"/>
      <c r="Q8" s="514">
        <v>58800</v>
      </c>
      <c r="R8" s="173">
        <v>0</v>
      </c>
      <c r="S8" s="173">
        <f>29400/2</f>
        <v>14700</v>
      </c>
      <c r="T8" s="173">
        <f>29400/2</f>
        <v>14700</v>
      </c>
      <c r="U8" s="173"/>
      <c r="V8" s="173"/>
      <c r="W8" s="173">
        <f>T8+S8</f>
        <v>29400</v>
      </c>
      <c r="X8" s="173">
        <f>S8+T8-W8</f>
        <v>0</v>
      </c>
      <c r="Y8" s="516" t="s">
        <v>73</v>
      </c>
      <c r="Z8" s="515" t="s">
        <v>224</v>
      </c>
    </row>
    <row r="9" spans="1:26" ht="39">
      <c r="A9" s="155"/>
      <c r="B9" s="511"/>
      <c r="C9" s="513"/>
      <c r="D9" s="171" t="s">
        <v>116</v>
      </c>
      <c r="E9" s="171" t="s">
        <v>15</v>
      </c>
      <c r="F9" s="172">
        <v>96</v>
      </c>
      <c r="G9" s="514"/>
      <c r="H9" s="514"/>
      <c r="I9" s="507"/>
      <c r="J9" s="514"/>
      <c r="K9" s="514"/>
      <c r="L9" s="507"/>
      <c r="M9" s="173"/>
      <c r="N9" s="173"/>
      <c r="O9" s="173"/>
      <c r="P9" s="173"/>
      <c r="Q9" s="514"/>
      <c r="R9" s="173">
        <v>0</v>
      </c>
      <c r="S9" s="173">
        <f>29400/2</f>
        <v>14700</v>
      </c>
      <c r="T9" s="173">
        <f>29400/2</f>
        <v>14700</v>
      </c>
      <c r="U9" s="173"/>
      <c r="V9" s="173"/>
      <c r="W9" s="173">
        <f>T9+S9</f>
        <v>29400</v>
      </c>
      <c r="X9" s="173">
        <f>S9+T9-W9</f>
        <v>0</v>
      </c>
      <c r="Y9" s="516"/>
      <c r="Z9" s="515"/>
    </row>
    <row r="10" spans="1:26" ht="39">
      <c r="A10" s="155"/>
      <c r="B10" s="511">
        <v>6</v>
      </c>
      <c r="C10" s="513" t="s">
        <v>5</v>
      </c>
      <c r="D10" s="171" t="s">
        <v>102</v>
      </c>
      <c r="E10" s="171" t="s">
        <v>23</v>
      </c>
      <c r="F10" s="172">
        <v>96</v>
      </c>
      <c r="G10" s="514">
        <v>474120</v>
      </c>
      <c r="H10" s="514">
        <v>158040</v>
      </c>
      <c r="I10" s="506">
        <f>SUM(G10:H16)</f>
        <v>632160</v>
      </c>
      <c r="J10" s="173"/>
      <c r="K10" s="173">
        <f>F10*180</f>
        <v>17280</v>
      </c>
      <c r="L10" s="173">
        <f t="shared" ref="L10:L16" si="1">F10*180</f>
        <v>17280</v>
      </c>
      <c r="M10" s="176"/>
      <c r="N10" s="176"/>
      <c r="O10" s="176"/>
      <c r="P10" s="176"/>
      <c r="Q10" s="506">
        <v>0</v>
      </c>
      <c r="R10" s="173"/>
      <c r="S10" s="173"/>
      <c r="T10" s="173">
        <v>17280</v>
      </c>
      <c r="U10" s="173"/>
      <c r="V10" s="173"/>
      <c r="W10" s="173"/>
      <c r="X10" s="173">
        <f t="shared" ref="X10:X19" si="2">R10+S10+T10-W10</f>
        <v>17280</v>
      </c>
      <c r="Y10" s="516" t="s">
        <v>96</v>
      </c>
      <c r="Z10" s="515" t="s">
        <v>225</v>
      </c>
    </row>
    <row r="11" spans="1:26" ht="39">
      <c r="A11" s="155"/>
      <c r="B11" s="511"/>
      <c r="C11" s="513"/>
      <c r="D11" s="171" t="s">
        <v>117</v>
      </c>
      <c r="E11" s="171" t="s">
        <v>24</v>
      </c>
      <c r="F11" s="172">
        <v>98</v>
      </c>
      <c r="G11" s="514"/>
      <c r="H11" s="514"/>
      <c r="I11" s="517"/>
      <c r="J11" s="173"/>
      <c r="K11" s="173">
        <v>17640</v>
      </c>
      <c r="L11" s="173">
        <f t="shared" si="1"/>
        <v>17640</v>
      </c>
      <c r="M11" s="177"/>
      <c r="N11" s="177"/>
      <c r="O11" s="177"/>
      <c r="P11" s="177"/>
      <c r="Q11" s="517"/>
      <c r="R11" s="173"/>
      <c r="S11" s="173"/>
      <c r="T11" s="173">
        <v>17640</v>
      </c>
      <c r="U11" s="173"/>
      <c r="V11" s="173"/>
      <c r="W11" s="173"/>
      <c r="X11" s="173">
        <f t="shared" si="2"/>
        <v>17640</v>
      </c>
      <c r="Y11" s="516"/>
      <c r="Z11" s="515"/>
    </row>
    <row r="12" spans="1:26" ht="39">
      <c r="A12" s="155"/>
      <c r="B12" s="511"/>
      <c r="C12" s="513"/>
      <c r="D12" s="171" t="s">
        <v>118</v>
      </c>
      <c r="E12" s="171" t="s">
        <v>24</v>
      </c>
      <c r="F12" s="172">
        <v>99</v>
      </c>
      <c r="G12" s="514"/>
      <c r="H12" s="514"/>
      <c r="I12" s="517"/>
      <c r="J12" s="173"/>
      <c r="K12" s="173">
        <v>17820</v>
      </c>
      <c r="L12" s="173">
        <f t="shared" si="1"/>
        <v>17820</v>
      </c>
      <c r="M12" s="177"/>
      <c r="N12" s="177"/>
      <c r="O12" s="177"/>
      <c r="P12" s="177"/>
      <c r="Q12" s="517"/>
      <c r="R12" s="173"/>
      <c r="S12" s="173"/>
      <c r="T12" s="173">
        <v>17820</v>
      </c>
      <c r="U12" s="173"/>
      <c r="V12" s="173"/>
      <c r="W12" s="173"/>
      <c r="X12" s="173">
        <f t="shared" si="2"/>
        <v>17820</v>
      </c>
      <c r="Y12" s="516"/>
      <c r="Z12" s="515"/>
    </row>
    <row r="13" spans="1:26" ht="39">
      <c r="A13" s="155"/>
      <c r="B13" s="511"/>
      <c r="C13" s="513"/>
      <c r="D13" s="171" t="s">
        <v>119</v>
      </c>
      <c r="E13" s="171" t="s">
        <v>24</v>
      </c>
      <c r="F13" s="172">
        <v>147</v>
      </c>
      <c r="G13" s="514"/>
      <c r="H13" s="514"/>
      <c r="I13" s="517"/>
      <c r="J13" s="173"/>
      <c r="K13" s="173">
        <v>26460</v>
      </c>
      <c r="L13" s="173">
        <f t="shared" si="1"/>
        <v>26460</v>
      </c>
      <c r="M13" s="177"/>
      <c r="N13" s="177"/>
      <c r="O13" s="177"/>
      <c r="P13" s="177"/>
      <c r="Q13" s="517"/>
      <c r="R13" s="173"/>
      <c r="S13" s="173"/>
      <c r="T13" s="173">
        <v>26460</v>
      </c>
      <c r="U13" s="173"/>
      <c r="V13" s="173"/>
      <c r="W13" s="173"/>
      <c r="X13" s="173">
        <f t="shared" si="2"/>
        <v>26460</v>
      </c>
      <c r="Y13" s="516"/>
      <c r="Z13" s="515"/>
    </row>
    <row r="14" spans="1:26" ht="39">
      <c r="A14" s="155"/>
      <c r="B14" s="511"/>
      <c r="C14" s="513"/>
      <c r="D14" s="171" t="s">
        <v>120</v>
      </c>
      <c r="E14" s="171" t="s">
        <v>24</v>
      </c>
      <c r="F14" s="172">
        <v>147</v>
      </c>
      <c r="G14" s="514"/>
      <c r="H14" s="514"/>
      <c r="I14" s="517"/>
      <c r="J14" s="173"/>
      <c r="K14" s="173">
        <v>26460</v>
      </c>
      <c r="L14" s="173">
        <f t="shared" si="1"/>
        <v>26460</v>
      </c>
      <c r="M14" s="177"/>
      <c r="N14" s="177"/>
      <c r="O14" s="177"/>
      <c r="P14" s="177"/>
      <c r="Q14" s="517"/>
      <c r="R14" s="173"/>
      <c r="S14" s="173"/>
      <c r="T14" s="173">
        <v>26460</v>
      </c>
      <c r="U14" s="173"/>
      <c r="V14" s="173"/>
      <c r="W14" s="173"/>
      <c r="X14" s="173">
        <f t="shared" si="2"/>
        <v>26460</v>
      </c>
      <c r="Y14" s="516"/>
      <c r="Z14" s="515"/>
    </row>
    <row r="15" spans="1:26" ht="39">
      <c r="A15" s="155"/>
      <c r="B15" s="511"/>
      <c r="C15" s="513"/>
      <c r="D15" s="171" t="s">
        <v>121</v>
      </c>
      <c r="E15" s="171" t="s">
        <v>13</v>
      </c>
      <c r="F15" s="172">
        <v>99</v>
      </c>
      <c r="G15" s="514"/>
      <c r="H15" s="514"/>
      <c r="I15" s="517"/>
      <c r="J15" s="173"/>
      <c r="K15" s="173">
        <v>17820</v>
      </c>
      <c r="L15" s="173">
        <f t="shared" si="1"/>
        <v>17820</v>
      </c>
      <c r="M15" s="177"/>
      <c r="N15" s="177"/>
      <c r="O15" s="177"/>
      <c r="P15" s="177"/>
      <c r="Q15" s="517"/>
      <c r="R15" s="173"/>
      <c r="S15" s="173"/>
      <c r="T15" s="173">
        <v>17820</v>
      </c>
      <c r="U15" s="173"/>
      <c r="V15" s="173"/>
      <c r="W15" s="173"/>
      <c r="X15" s="173">
        <f t="shared" si="2"/>
        <v>17820</v>
      </c>
      <c r="Y15" s="516"/>
      <c r="Z15" s="515"/>
    </row>
    <row r="16" spans="1:26" ht="39">
      <c r="A16" s="155"/>
      <c r="B16" s="511"/>
      <c r="C16" s="513"/>
      <c r="D16" s="171" t="s">
        <v>122</v>
      </c>
      <c r="E16" s="171" t="s">
        <v>24</v>
      </c>
      <c r="F16" s="172">
        <v>192</v>
      </c>
      <c r="G16" s="514"/>
      <c r="H16" s="514"/>
      <c r="I16" s="507"/>
      <c r="J16" s="173"/>
      <c r="K16" s="173">
        <f>192*180</f>
        <v>34560</v>
      </c>
      <c r="L16" s="173">
        <f t="shared" si="1"/>
        <v>34560</v>
      </c>
      <c r="M16" s="178"/>
      <c r="N16" s="178"/>
      <c r="O16" s="178"/>
      <c r="P16" s="178"/>
      <c r="Q16" s="507"/>
      <c r="R16" s="173"/>
      <c r="S16" s="173"/>
      <c r="T16" s="173">
        <v>34560</v>
      </c>
      <c r="U16" s="173"/>
      <c r="V16" s="173"/>
      <c r="W16" s="173"/>
      <c r="X16" s="173">
        <f t="shared" si="2"/>
        <v>34560</v>
      </c>
      <c r="Y16" s="516"/>
      <c r="Z16" s="515"/>
    </row>
    <row r="17" spans="1:26" ht="39">
      <c r="A17" s="155"/>
      <c r="B17" s="511">
        <v>7</v>
      </c>
      <c r="C17" s="518" t="s">
        <v>11</v>
      </c>
      <c r="D17" s="179" t="s">
        <v>123</v>
      </c>
      <c r="E17" s="179" t="s">
        <v>13</v>
      </c>
      <c r="F17" s="180">
        <v>110</v>
      </c>
      <c r="G17" s="514">
        <v>30900</v>
      </c>
      <c r="H17" s="514">
        <v>61800</v>
      </c>
      <c r="I17" s="506">
        <f>SUM(G17:H18)</f>
        <v>92700</v>
      </c>
      <c r="J17" s="173">
        <f>150*110</f>
        <v>16500</v>
      </c>
      <c r="K17" s="173">
        <f>150*110</f>
        <v>16500</v>
      </c>
      <c r="L17" s="173">
        <f>150*110</f>
        <v>16500</v>
      </c>
      <c r="M17" s="173"/>
      <c r="N17" s="173"/>
      <c r="O17" s="173"/>
      <c r="P17" s="173"/>
      <c r="Q17" s="173">
        <v>0</v>
      </c>
      <c r="R17" s="173">
        <f>150*110</f>
        <v>16500</v>
      </c>
      <c r="S17" s="173">
        <f>150*110</f>
        <v>16500</v>
      </c>
      <c r="T17" s="173">
        <f>150*110</f>
        <v>16500</v>
      </c>
      <c r="U17" s="173"/>
      <c r="V17" s="173"/>
      <c r="W17" s="173"/>
      <c r="X17" s="173">
        <f t="shared" si="2"/>
        <v>49500</v>
      </c>
      <c r="Y17" s="512" t="s">
        <v>93</v>
      </c>
      <c r="Z17" s="515" t="s">
        <v>97</v>
      </c>
    </row>
    <row r="18" spans="1:26" ht="39">
      <c r="A18" s="155"/>
      <c r="B18" s="511"/>
      <c r="C18" s="518"/>
      <c r="D18" s="179" t="s">
        <v>124</v>
      </c>
      <c r="E18" s="179" t="s">
        <v>25</v>
      </c>
      <c r="F18" s="180">
        <v>96</v>
      </c>
      <c r="G18" s="514"/>
      <c r="H18" s="514"/>
      <c r="I18" s="507"/>
      <c r="J18" s="173">
        <f>150*96</f>
        <v>14400</v>
      </c>
      <c r="K18" s="173">
        <f>150*96</f>
        <v>14400</v>
      </c>
      <c r="L18" s="173">
        <f>150*96</f>
        <v>14400</v>
      </c>
      <c r="M18" s="173"/>
      <c r="N18" s="173"/>
      <c r="O18" s="173"/>
      <c r="P18" s="173"/>
      <c r="Q18" s="173">
        <v>0</v>
      </c>
      <c r="R18" s="173">
        <f>150*96</f>
        <v>14400</v>
      </c>
      <c r="S18" s="173">
        <f>150*96</f>
        <v>14400</v>
      </c>
      <c r="T18" s="173">
        <f>150*96</f>
        <v>14400</v>
      </c>
      <c r="U18" s="173"/>
      <c r="V18" s="173"/>
      <c r="W18" s="173"/>
      <c r="X18" s="173">
        <f t="shared" si="2"/>
        <v>43200</v>
      </c>
      <c r="Y18" s="512"/>
      <c r="Z18" s="515"/>
    </row>
    <row r="19" spans="1:26" ht="156">
      <c r="A19" s="155"/>
      <c r="B19" s="170">
        <v>8</v>
      </c>
      <c r="C19" s="181" t="s">
        <v>104</v>
      </c>
      <c r="D19" s="179" t="s">
        <v>125</v>
      </c>
      <c r="E19" s="179" t="s">
        <v>13</v>
      </c>
      <c r="F19" s="180">
        <v>99</v>
      </c>
      <c r="G19" s="173">
        <v>62748</v>
      </c>
      <c r="H19" s="173">
        <v>41832</v>
      </c>
      <c r="I19" s="173">
        <f>SUM(G19:H19)</f>
        <v>104580</v>
      </c>
      <c r="J19" s="173">
        <v>20916</v>
      </c>
      <c r="K19" s="173">
        <v>20916</v>
      </c>
      <c r="L19" s="173">
        <v>20916</v>
      </c>
      <c r="M19" s="173"/>
      <c r="N19" s="173"/>
      <c r="O19" s="173"/>
      <c r="P19" s="173"/>
      <c r="Q19" s="173">
        <v>0</v>
      </c>
      <c r="R19" s="173">
        <v>20916</v>
      </c>
      <c r="S19" s="173">
        <v>20916</v>
      </c>
      <c r="T19" s="173">
        <v>20916</v>
      </c>
      <c r="U19" s="173"/>
      <c r="V19" s="173"/>
      <c r="W19" s="173"/>
      <c r="X19" s="173">
        <f t="shared" si="2"/>
        <v>62748</v>
      </c>
      <c r="Y19" s="174" t="s">
        <v>93</v>
      </c>
      <c r="Z19" s="175" t="s">
        <v>98</v>
      </c>
    </row>
    <row r="20" spans="1:26" ht="39">
      <c r="A20" s="155"/>
      <c r="B20" s="170">
        <v>9</v>
      </c>
      <c r="C20" s="513" t="s">
        <v>34</v>
      </c>
      <c r="D20" s="171" t="s">
        <v>126</v>
      </c>
      <c r="E20" s="171" t="s">
        <v>35</v>
      </c>
      <c r="F20" s="172">
        <v>96</v>
      </c>
      <c r="G20" s="514">
        <f>90000+300000+4200</f>
        <v>394200</v>
      </c>
      <c r="H20" s="514">
        <v>262800</v>
      </c>
      <c r="I20" s="506">
        <f>SUM(G20:H23)</f>
        <v>657000</v>
      </c>
      <c r="J20" s="173"/>
      <c r="K20" s="514">
        <v>131400</v>
      </c>
      <c r="L20" s="506">
        <v>131400</v>
      </c>
      <c r="M20" s="506">
        <v>131400</v>
      </c>
      <c r="N20" s="173"/>
      <c r="O20" s="173"/>
      <c r="P20" s="173"/>
      <c r="Q20" s="514">
        <f>H20-K20-L20</f>
        <v>0</v>
      </c>
      <c r="R20" s="173"/>
      <c r="S20" s="173">
        <f t="shared" ref="S20:U21" si="3">300*96</f>
        <v>28800</v>
      </c>
      <c r="T20" s="173">
        <f t="shared" si="3"/>
        <v>28800</v>
      </c>
      <c r="U20" s="173">
        <f t="shared" si="3"/>
        <v>28800</v>
      </c>
      <c r="V20" s="173"/>
      <c r="W20" s="173">
        <v>0</v>
      </c>
      <c r="X20" s="173">
        <f>S20+T20+U20</f>
        <v>86400</v>
      </c>
      <c r="Y20" s="512" t="s">
        <v>83</v>
      </c>
      <c r="Z20" s="515" t="s">
        <v>229</v>
      </c>
    </row>
    <row r="21" spans="1:26" ht="39">
      <c r="A21" s="155"/>
      <c r="B21" s="170">
        <v>10</v>
      </c>
      <c r="C21" s="513"/>
      <c r="D21" s="171" t="s">
        <v>127</v>
      </c>
      <c r="E21" s="171" t="s">
        <v>36</v>
      </c>
      <c r="F21" s="172">
        <v>96</v>
      </c>
      <c r="G21" s="514"/>
      <c r="H21" s="514"/>
      <c r="I21" s="517"/>
      <c r="J21" s="173"/>
      <c r="K21" s="514"/>
      <c r="L21" s="517"/>
      <c r="M21" s="517"/>
      <c r="N21" s="173"/>
      <c r="O21" s="173"/>
      <c r="P21" s="173"/>
      <c r="Q21" s="514"/>
      <c r="R21" s="173"/>
      <c r="S21" s="173">
        <f t="shared" si="3"/>
        <v>28800</v>
      </c>
      <c r="T21" s="173">
        <f t="shared" si="3"/>
        <v>28800</v>
      </c>
      <c r="U21" s="173">
        <f t="shared" si="3"/>
        <v>28800</v>
      </c>
      <c r="V21" s="173"/>
      <c r="W21" s="173">
        <v>0</v>
      </c>
      <c r="X21" s="173">
        <f>S21+T21+U21</f>
        <v>86400</v>
      </c>
      <c r="Y21" s="513"/>
      <c r="Z21" s="519"/>
    </row>
    <row r="22" spans="1:26" ht="39">
      <c r="A22" s="155"/>
      <c r="B22" s="170">
        <v>11</v>
      </c>
      <c r="C22" s="513"/>
      <c r="D22" s="171" t="s">
        <v>128</v>
      </c>
      <c r="E22" s="171" t="s">
        <v>12</v>
      </c>
      <c r="F22" s="172">
        <v>99</v>
      </c>
      <c r="G22" s="514"/>
      <c r="H22" s="514"/>
      <c r="I22" s="517"/>
      <c r="J22" s="173"/>
      <c r="K22" s="514"/>
      <c r="L22" s="517"/>
      <c r="M22" s="517"/>
      <c r="N22" s="173"/>
      <c r="O22" s="173"/>
      <c r="P22" s="173"/>
      <c r="Q22" s="514"/>
      <c r="R22" s="173"/>
      <c r="S22" s="173">
        <f>300*99</f>
        <v>29700</v>
      </c>
      <c r="T22" s="173">
        <f>300*99</f>
        <v>29700</v>
      </c>
      <c r="U22" s="173">
        <f>300*99</f>
        <v>29700</v>
      </c>
      <c r="V22" s="173"/>
      <c r="W22" s="173">
        <v>0</v>
      </c>
      <c r="X22" s="173">
        <f>S22+T22+U22</f>
        <v>89100</v>
      </c>
      <c r="Y22" s="513"/>
      <c r="Z22" s="519"/>
    </row>
    <row r="23" spans="1:26" ht="39">
      <c r="A23" s="155"/>
      <c r="B23" s="170">
        <v>12</v>
      </c>
      <c r="C23" s="513"/>
      <c r="D23" s="171" t="s">
        <v>129</v>
      </c>
      <c r="E23" s="171" t="s">
        <v>12</v>
      </c>
      <c r="F23" s="172">
        <v>147</v>
      </c>
      <c r="G23" s="514"/>
      <c r="H23" s="514"/>
      <c r="I23" s="507"/>
      <c r="J23" s="173"/>
      <c r="K23" s="514"/>
      <c r="L23" s="507"/>
      <c r="M23" s="507"/>
      <c r="N23" s="173"/>
      <c r="O23" s="173"/>
      <c r="P23" s="173"/>
      <c r="Q23" s="514"/>
      <c r="R23" s="173"/>
      <c r="S23" s="173">
        <f>300*147</f>
        <v>44100</v>
      </c>
      <c r="T23" s="173">
        <f>300*147</f>
        <v>44100</v>
      </c>
      <c r="U23" s="173">
        <f>300*147</f>
        <v>44100</v>
      </c>
      <c r="V23" s="173"/>
      <c r="W23" s="173">
        <v>0</v>
      </c>
      <c r="X23" s="173">
        <f>S23+T23+U23</f>
        <v>132300</v>
      </c>
      <c r="Y23" s="513"/>
      <c r="Z23" s="519"/>
    </row>
    <row r="24" spans="1:26" ht="39">
      <c r="A24" s="155"/>
      <c r="B24" s="170">
        <v>13</v>
      </c>
      <c r="C24" s="179" t="s">
        <v>9</v>
      </c>
      <c r="D24" s="179" t="s">
        <v>130</v>
      </c>
      <c r="E24" s="179" t="s">
        <v>12</v>
      </c>
      <c r="F24" s="180">
        <v>291</v>
      </c>
      <c r="G24" s="173">
        <v>196830</v>
      </c>
      <c r="H24" s="173">
        <v>196830</v>
      </c>
      <c r="I24" s="173">
        <f>SUM(G24:H24)</f>
        <v>393660</v>
      </c>
      <c r="J24" s="173"/>
      <c r="K24" s="173">
        <v>65610</v>
      </c>
      <c r="L24" s="173">
        <v>65610</v>
      </c>
      <c r="M24" s="173"/>
      <c r="N24" s="173"/>
      <c r="O24" s="173"/>
      <c r="P24" s="173"/>
      <c r="Q24" s="173">
        <f>H24</f>
        <v>196830</v>
      </c>
      <c r="R24" s="173"/>
      <c r="S24" s="173">
        <v>65610</v>
      </c>
      <c r="T24" s="182">
        <v>65610</v>
      </c>
      <c r="U24" s="182"/>
      <c r="V24" s="182"/>
      <c r="W24" s="182">
        <v>65610</v>
      </c>
      <c r="X24" s="173">
        <f>S24+T24-W24</f>
        <v>65610</v>
      </c>
      <c r="Y24" s="179"/>
      <c r="Z24" s="175" t="s">
        <v>81</v>
      </c>
    </row>
    <row r="25" spans="1:26" ht="78">
      <c r="A25" s="155"/>
      <c r="B25" s="170">
        <v>14</v>
      </c>
      <c r="C25" s="179" t="s">
        <v>10</v>
      </c>
      <c r="D25" s="179" t="s">
        <v>131</v>
      </c>
      <c r="E25" s="179" t="s">
        <v>13</v>
      </c>
      <c r="F25" s="180">
        <v>99</v>
      </c>
      <c r="G25" s="173">
        <v>86400</v>
      </c>
      <c r="H25" s="173">
        <v>86400</v>
      </c>
      <c r="I25" s="173">
        <f>SUM(G25:H25)</f>
        <v>172800</v>
      </c>
      <c r="J25" s="173"/>
      <c r="K25" s="173">
        <v>14400</v>
      </c>
      <c r="L25" s="173">
        <v>14400</v>
      </c>
      <c r="M25" s="173"/>
      <c r="N25" s="173"/>
      <c r="O25" s="173"/>
      <c r="P25" s="173"/>
      <c r="Q25" s="173"/>
      <c r="R25" s="173"/>
      <c r="S25" s="173">
        <v>14400</v>
      </c>
      <c r="T25" s="173">
        <v>14400</v>
      </c>
      <c r="U25" s="173"/>
      <c r="V25" s="173"/>
      <c r="W25" s="182">
        <f>14400*2</f>
        <v>28800</v>
      </c>
      <c r="X25" s="173">
        <f>R25+S25+T25-W25</f>
        <v>0</v>
      </c>
      <c r="Y25" s="181" t="s">
        <v>110</v>
      </c>
      <c r="Z25" s="183" t="s">
        <v>92</v>
      </c>
    </row>
    <row r="26" spans="1:26" ht="39">
      <c r="A26" s="155"/>
      <c r="B26" s="170">
        <v>15</v>
      </c>
      <c r="C26" s="512" t="s">
        <v>108</v>
      </c>
      <c r="D26" s="171" t="s">
        <v>132</v>
      </c>
      <c r="E26" s="171" t="s">
        <v>24</v>
      </c>
      <c r="F26" s="172">
        <v>144</v>
      </c>
      <c r="G26" s="514">
        <v>844800</v>
      </c>
      <c r="H26" s="514">
        <v>844800</v>
      </c>
      <c r="I26" s="506">
        <f t="shared" si="0"/>
        <v>1689600</v>
      </c>
      <c r="J26" s="173"/>
      <c r="K26" s="173"/>
      <c r="L26" s="173">
        <f t="shared" ref="L26:L37" si="4">200*F26</f>
        <v>28800</v>
      </c>
      <c r="M26" s="173">
        <v>28800</v>
      </c>
      <c r="N26" s="173">
        <v>28800</v>
      </c>
      <c r="O26" s="173"/>
      <c r="P26" s="173"/>
      <c r="Q26" s="514">
        <f>844800-281600</f>
        <v>563200</v>
      </c>
      <c r="R26" s="173"/>
      <c r="S26" s="173"/>
      <c r="T26" s="173">
        <v>28800</v>
      </c>
      <c r="U26" s="173">
        <v>28800</v>
      </c>
      <c r="V26" s="173">
        <v>28800</v>
      </c>
      <c r="W26" s="173"/>
      <c r="X26" s="173">
        <f>V26+U26+T26</f>
        <v>86400</v>
      </c>
      <c r="Y26" s="512" t="s">
        <v>91</v>
      </c>
      <c r="Z26" s="515" t="s">
        <v>230</v>
      </c>
    </row>
    <row r="27" spans="1:26" ht="39">
      <c r="A27" s="155"/>
      <c r="B27" s="170">
        <v>16</v>
      </c>
      <c r="C27" s="513"/>
      <c r="D27" s="171" t="s">
        <v>133</v>
      </c>
      <c r="E27" s="171" t="s">
        <v>26</v>
      </c>
      <c r="F27" s="172">
        <v>98</v>
      </c>
      <c r="G27" s="514"/>
      <c r="H27" s="514"/>
      <c r="I27" s="517"/>
      <c r="J27" s="173"/>
      <c r="K27" s="173"/>
      <c r="L27" s="173">
        <f t="shared" si="4"/>
        <v>19600</v>
      </c>
      <c r="M27" s="173">
        <v>19600</v>
      </c>
      <c r="N27" s="173">
        <v>19600</v>
      </c>
      <c r="O27" s="173"/>
      <c r="P27" s="173"/>
      <c r="Q27" s="514"/>
      <c r="R27" s="173"/>
      <c r="S27" s="173"/>
      <c r="T27" s="173">
        <v>19600</v>
      </c>
      <c r="U27" s="173">
        <v>19600</v>
      </c>
      <c r="V27" s="173">
        <v>19600</v>
      </c>
      <c r="W27" s="173"/>
      <c r="X27" s="173">
        <f>V27+U27+T27</f>
        <v>58800</v>
      </c>
      <c r="Y27" s="513"/>
      <c r="Z27" s="519"/>
    </row>
    <row r="28" spans="1:26" ht="39">
      <c r="A28" s="155"/>
      <c r="B28" s="170">
        <v>17</v>
      </c>
      <c r="C28" s="513"/>
      <c r="D28" s="171" t="s">
        <v>134</v>
      </c>
      <c r="E28" s="171" t="s">
        <v>27</v>
      </c>
      <c r="F28" s="172">
        <v>98</v>
      </c>
      <c r="G28" s="514"/>
      <c r="H28" s="514"/>
      <c r="I28" s="517"/>
      <c r="J28" s="173"/>
      <c r="K28" s="173"/>
      <c r="L28" s="173">
        <f t="shared" si="4"/>
        <v>19600</v>
      </c>
      <c r="M28" s="173">
        <v>19600</v>
      </c>
      <c r="N28" s="173">
        <v>19600</v>
      </c>
      <c r="O28" s="173"/>
      <c r="P28" s="173"/>
      <c r="Q28" s="514"/>
      <c r="R28" s="173"/>
      <c r="S28" s="173"/>
      <c r="T28" s="173">
        <v>19600</v>
      </c>
      <c r="U28" s="173">
        <v>19600</v>
      </c>
      <c r="V28" s="173">
        <v>19600</v>
      </c>
      <c r="W28" s="173"/>
      <c r="X28" s="173">
        <f t="shared" ref="X28:X37" si="5">V28+U28+T28</f>
        <v>58800</v>
      </c>
      <c r="Y28" s="513"/>
      <c r="Z28" s="519"/>
    </row>
    <row r="29" spans="1:26" ht="39">
      <c r="A29" s="155"/>
      <c r="B29" s="170">
        <v>18</v>
      </c>
      <c r="C29" s="513"/>
      <c r="D29" s="171" t="s">
        <v>135</v>
      </c>
      <c r="E29" s="171" t="s">
        <v>28</v>
      </c>
      <c r="F29" s="172">
        <v>99</v>
      </c>
      <c r="G29" s="514"/>
      <c r="H29" s="514"/>
      <c r="I29" s="517"/>
      <c r="J29" s="173"/>
      <c r="K29" s="173"/>
      <c r="L29" s="173">
        <f t="shared" si="4"/>
        <v>19800</v>
      </c>
      <c r="M29" s="173">
        <v>19800</v>
      </c>
      <c r="N29" s="173">
        <v>19800</v>
      </c>
      <c r="O29" s="173"/>
      <c r="P29" s="173"/>
      <c r="Q29" s="514"/>
      <c r="R29" s="173"/>
      <c r="S29" s="173"/>
      <c r="T29" s="173">
        <v>19800</v>
      </c>
      <c r="U29" s="173">
        <v>19800</v>
      </c>
      <c r="V29" s="173">
        <v>19800</v>
      </c>
      <c r="W29" s="173"/>
      <c r="X29" s="173">
        <f t="shared" si="5"/>
        <v>59400</v>
      </c>
      <c r="Y29" s="513"/>
      <c r="Z29" s="519"/>
    </row>
    <row r="30" spans="1:26" ht="39">
      <c r="A30" s="155"/>
      <c r="B30" s="170">
        <v>19</v>
      </c>
      <c r="C30" s="513"/>
      <c r="D30" s="171" t="s">
        <v>136</v>
      </c>
      <c r="E30" s="171" t="s">
        <v>29</v>
      </c>
      <c r="F30" s="172">
        <v>96</v>
      </c>
      <c r="G30" s="514"/>
      <c r="H30" s="514"/>
      <c r="I30" s="517"/>
      <c r="J30" s="173"/>
      <c r="K30" s="173"/>
      <c r="L30" s="173">
        <f t="shared" si="4"/>
        <v>19200</v>
      </c>
      <c r="M30" s="173">
        <v>19200</v>
      </c>
      <c r="N30" s="173">
        <v>19200</v>
      </c>
      <c r="O30" s="173"/>
      <c r="P30" s="173"/>
      <c r="Q30" s="514"/>
      <c r="R30" s="173"/>
      <c r="S30" s="173"/>
      <c r="T30" s="173">
        <v>19200</v>
      </c>
      <c r="U30" s="173">
        <v>19200</v>
      </c>
      <c r="V30" s="173">
        <v>19200</v>
      </c>
      <c r="W30" s="173"/>
      <c r="X30" s="173">
        <f t="shared" si="5"/>
        <v>57600</v>
      </c>
      <c r="Y30" s="513"/>
      <c r="Z30" s="519"/>
    </row>
    <row r="31" spans="1:26" ht="39">
      <c r="A31" s="155"/>
      <c r="B31" s="170">
        <v>20</v>
      </c>
      <c r="C31" s="513"/>
      <c r="D31" s="171" t="s">
        <v>137</v>
      </c>
      <c r="E31" s="171" t="s">
        <v>30</v>
      </c>
      <c r="F31" s="172">
        <v>96</v>
      </c>
      <c r="G31" s="514"/>
      <c r="H31" s="514"/>
      <c r="I31" s="517"/>
      <c r="J31" s="173"/>
      <c r="K31" s="173"/>
      <c r="L31" s="173">
        <f t="shared" si="4"/>
        <v>19200</v>
      </c>
      <c r="M31" s="173">
        <v>19200</v>
      </c>
      <c r="N31" s="173">
        <v>19200</v>
      </c>
      <c r="O31" s="173"/>
      <c r="P31" s="173"/>
      <c r="Q31" s="514"/>
      <c r="R31" s="173"/>
      <c r="S31" s="173"/>
      <c r="T31" s="173">
        <v>19200</v>
      </c>
      <c r="U31" s="173">
        <v>19200</v>
      </c>
      <c r="V31" s="173">
        <v>19200</v>
      </c>
      <c r="W31" s="173"/>
      <c r="X31" s="173">
        <f t="shared" si="5"/>
        <v>57600</v>
      </c>
      <c r="Y31" s="513"/>
      <c r="Z31" s="519"/>
    </row>
    <row r="32" spans="1:26" ht="39">
      <c r="A32" s="155"/>
      <c r="B32" s="170">
        <v>21</v>
      </c>
      <c r="C32" s="513"/>
      <c r="D32" s="171" t="s">
        <v>138</v>
      </c>
      <c r="E32" s="171" t="s">
        <v>31</v>
      </c>
      <c r="F32" s="172">
        <v>147</v>
      </c>
      <c r="G32" s="514"/>
      <c r="H32" s="514"/>
      <c r="I32" s="517"/>
      <c r="J32" s="173"/>
      <c r="K32" s="173"/>
      <c r="L32" s="173">
        <f t="shared" si="4"/>
        <v>29400</v>
      </c>
      <c r="M32" s="173">
        <v>29400</v>
      </c>
      <c r="N32" s="173">
        <v>29400</v>
      </c>
      <c r="O32" s="173"/>
      <c r="P32" s="173"/>
      <c r="Q32" s="514"/>
      <c r="R32" s="173"/>
      <c r="S32" s="173"/>
      <c r="T32" s="173">
        <v>29400</v>
      </c>
      <c r="U32" s="173">
        <v>29400</v>
      </c>
      <c r="V32" s="173">
        <v>29400</v>
      </c>
      <c r="W32" s="173"/>
      <c r="X32" s="173">
        <f t="shared" si="5"/>
        <v>88200</v>
      </c>
      <c r="Y32" s="513"/>
      <c r="Z32" s="519"/>
    </row>
    <row r="33" spans="1:26" ht="39">
      <c r="A33" s="155"/>
      <c r="B33" s="170">
        <v>22</v>
      </c>
      <c r="C33" s="513"/>
      <c r="D33" s="171" t="s">
        <v>139</v>
      </c>
      <c r="E33" s="171" t="s">
        <v>24</v>
      </c>
      <c r="F33" s="172">
        <v>147</v>
      </c>
      <c r="G33" s="514"/>
      <c r="H33" s="514"/>
      <c r="I33" s="517"/>
      <c r="J33" s="173"/>
      <c r="K33" s="173"/>
      <c r="L33" s="173">
        <f t="shared" si="4"/>
        <v>29400</v>
      </c>
      <c r="M33" s="173">
        <v>29400</v>
      </c>
      <c r="N33" s="173">
        <v>29400</v>
      </c>
      <c r="O33" s="173"/>
      <c r="P33" s="173"/>
      <c r="Q33" s="514"/>
      <c r="R33" s="173"/>
      <c r="S33" s="173"/>
      <c r="T33" s="173">
        <v>29400</v>
      </c>
      <c r="U33" s="173">
        <v>29400</v>
      </c>
      <c r="V33" s="173">
        <v>29400</v>
      </c>
      <c r="W33" s="173"/>
      <c r="X33" s="173">
        <f t="shared" si="5"/>
        <v>88200</v>
      </c>
      <c r="Y33" s="513"/>
      <c r="Z33" s="519"/>
    </row>
    <row r="34" spans="1:26" ht="39">
      <c r="A34" s="155"/>
      <c r="B34" s="170">
        <v>23</v>
      </c>
      <c r="C34" s="513"/>
      <c r="D34" s="171" t="s">
        <v>140</v>
      </c>
      <c r="E34" s="171" t="s">
        <v>32</v>
      </c>
      <c r="F34" s="172">
        <v>99</v>
      </c>
      <c r="G34" s="514"/>
      <c r="H34" s="514"/>
      <c r="I34" s="517"/>
      <c r="J34" s="173"/>
      <c r="K34" s="173"/>
      <c r="L34" s="173">
        <f t="shared" si="4"/>
        <v>19800</v>
      </c>
      <c r="M34" s="173">
        <v>19800</v>
      </c>
      <c r="N34" s="173">
        <v>19800</v>
      </c>
      <c r="O34" s="173"/>
      <c r="P34" s="173"/>
      <c r="Q34" s="514"/>
      <c r="R34" s="173"/>
      <c r="S34" s="173"/>
      <c r="T34" s="173">
        <v>19800</v>
      </c>
      <c r="U34" s="173">
        <v>19800</v>
      </c>
      <c r="V34" s="173">
        <v>19800</v>
      </c>
      <c r="W34" s="173"/>
      <c r="X34" s="173">
        <f t="shared" si="5"/>
        <v>59400</v>
      </c>
      <c r="Y34" s="513"/>
      <c r="Z34" s="519"/>
    </row>
    <row r="35" spans="1:26" ht="39">
      <c r="A35" s="155"/>
      <c r="B35" s="170">
        <v>24</v>
      </c>
      <c r="C35" s="513"/>
      <c r="D35" s="171" t="s">
        <v>141</v>
      </c>
      <c r="E35" s="171" t="s">
        <v>24</v>
      </c>
      <c r="F35" s="172">
        <v>192</v>
      </c>
      <c r="G35" s="514"/>
      <c r="H35" s="514"/>
      <c r="I35" s="517"/>
      <c r="J35" s="173"/>
      <c r="K35" s="173"/>
      <c r="L35" s="173">
        <f t="shared" si="4"/>
        <v>38400</v>
      </c>
      <c r="M35" s="173">
        <v>38400</v>
      </c>
      <c r="N35" s="173">
        <v>38400</v>
      </c>
      <c r="O35" s="173"/>
      <c r="P35" s="173"/>
      <c r="Q35" s="514"/>
      <c r="R35" s="173"/>
      <c r="S35" s="173"/>
      <c r="T35" s="173">
        <v>38400</v>
      </c>
      <c r="U35" s="173">
        <v>38400</v>
      </c>
      <c r="V35" s="173">
        <v>38400</v>
      </c>
      <c r="W35" s="173"/>
      <c r="X35" s="173">
        <f t="shared" si="5"/>
        <v>115200</v>
      </c>
      <c r="Y35" s="513"/>
      <c r="Z35" s="519"/>
    </row>
    <row r="36" spans="1:26" ht="39">
      <c r="A36" s="155"/>
      <c r="B36" s="170">
        <v>25</v>
      </c>
      <c r="C36" s="513"/>
      <c r="D36" s="171" t="s">
        <v>142</v>
      </c>
      <c r="E36" s="171" t="s">
        <v>13</v>
      </c>
      <c r="F36" s="172">
        <v>96</v>
      </c>
      <c r="G36" s="514"/>
      <c r="H36" s="514"/>
      <c r="I36" s="517"/>
      <c r="J36" s="173"/>
      <c r="K36" s="173"/>
      <c r="L36" s="173">
        <f t="shared" si="4"/>
        <v>19200</v>
      </c>
      <c r="M36" s="173">
        <v>19200</v>
      </c>
      <c r="N36" s="173">
        <v>19200</v>
      </c>
      <c r="O36" s="173"/>
      <c r="P36" s="173"/>
      <c r="Q36" s="514"/>
      <c r="R36" s="173"/>
      <c r="S36" s="173"/>
      <c r="T36" s="173">
        <v>19200</v>
      </c>
      <c r="U36" s="173">
        <v>19200</v>
      </c>
      <c r="V36" s="173">
        <v>19200</v>
      </c>
      <c r="W36" s="173"/>
      <c r="X36" s="173">
        <f t="shared" si="5"/>
        <v>57600</v>
      </c>
      <c r="Y36" s="513"/>
      <c r="Z36" s="519"/>
    </row>
    <row r="37" spans="1:26" ht="39">
      <c r="A37" s="155"/>
      <c r="B37" s="170">
        <v>26</v>
      </c>
      <c r="C37" s="513"/>
      <c r="D37" s="171" t="s">
        <v>143</v>
      </c>
      <c r="E37" s="171" t="s">
        <v>24</v>
      </c>
      <c r="F37" s="172">
        <v>96</v>
      </c>
      <c r="G37" s="514"/>
      <c r="H37" s="514"/>
      <c r="I37" s="507"/>
      <c r="J37" s="173"/>
      <c r="K37" s="173"/>
      <c r="L37" s="173">
        <f t="shared" si="4"/>
        <v>19200</v>
      </c>
      <c r="M37" s="173">
        <v>19200</v>
      </c>
      <c r="N37" s="173">
        <v>19200</v>
      </c>
      <c r="O37" s="173"/>
      <c r="P37" s="173"/>
      <c r="Q37" s="514"/>
      <c r="R37" s="173"/>
      <c r="S37" s="173"/>
      <c r="T37" s="173">
        <v>19200</v>
      </c>
      <c r="U37" s="173">
        <v>19200</v>
      </c>
      <c r="V37" s="173">
        <v>19200</v>
      </c>
      <c r="W37" s="173"/>
      <c r="X37" s="173">
        <f t="shared" si="5"/>
        <v>57600</v>
      </c>
      <c r="Y37" s="513"/>
      <c r="Z37" s="519"/>
    </row>
    <row r="38" spans="1:26" ht="78">
      <c r="A38" s="155"/>
      <c r="B38" s="170">
        <v>27</v>
      </c>
      <c r="C38" s="174" t="s">
        <v>105</v>
      </c>
      <c r="D38" s="171" t="s">
        <v>69</v>
      </c>
      <c r="E38" s="171"/>
      <c r="F38" s="172">
        <v>96</v>
      </c>
      <c r="G38" s="173">
        <v>40320</v>
      </c>
      <c r="H38" s="173">
        <v>40320</v>
      </c>
      <c r="I38" s="173">
        <f t="shared" si="0"/>
        <v>80640</v>
      </c>
      <c r="J38" s="173">
        <v>20160</v>
      </c>
      <c r="K38" s="173">
        <f>210*96</f>
        <v>20160</v>
      </c>
      <c r="L38" s="173">
        <f>210*96</f>
        <v>20160</v>
      </c>
      <c r="M38" s="173"/>
      <c r="N38" s="173"/>
      <c r="O38" s="173"/>
      <c r="P38" s="173"/>
      <c r="Q38" s="173">
        <v>0</v>
      </c>
      <c r="R38" s="173"/>
      <c r="S38" s="173"/>
      <c r="T38" s="173"/>
      <c r="U38" s="173"/>
      <c r="V38" s="173"/>
      <c r="W38" s="173"/>
      <c r="X38" s="173">
        <f t="shared" ref="X38:X50" si="6">R38+S38+T38-W38</f>
        <v>0</v>
      </c>
      <c r="Y38" s="171" t="s">
        <v>99</v>
      </c>
      <c r="Z38" s="175" t="s">
        <v>100</v>
      </c>
    </row>
    <row r="39" spans="1:26" ht="78">
      <c r="A39" s="155"/>
      <c r="B39" s="170">
        <v>28</v>
      </c>
      <c r="C39" s="171" t="s">
        <v>55</v>
      </c>
      <c r="D39" s="171" t="s">
        <v>144</v>
      </c>
      <c r="E39" s="171" t="s">
        <v>33</v>
      </c>
      <c r="F39" s="172">
        <v>96</v>
      </c>
      <c r="G39" s="173">
        <v>86400</v>
      </c>
      <c r="H39" s="173">
        <v>28800</v>
      </c>
      <c r="I39" s="173">
        <f t="shared" si="0"/>
        <v>115200</v>
      </c>
      <c r="J39" s="173">
        <v>0</v>
      </c>
      <c r="K39" s="173">
        <v>0</v>
      </c>
      <c r="L39" s="173">
        <v>28800</v>
      </c>
      <c r="M39" s="173"/>
      <c r="N39" s="173"/>
      <c r="O39" s="173"/>
      <c r="P39" s="173"/>
      <c r="Q39" s="173">
        <f>H39-J39</f>
        <v>28800</v>
      </c>
      <c r="R39" s="173">
        <v>0</v>
      </c>
      <c r="S39" s="173">
        <v>0</v>
      </c>
      <c r="T39" s="173">
        <v>28800</v>
      </c>
      <c r="U39" s="173"/>
      <c r="V39" s="173"/>
      <c r="W39" s="173"/>
      <c r="X39" s="173">
        <f t="shared" si="6"/>
        <v>28800</v>
      </c>
      <c r="Y39" s="171"/>
      <c r="Z39" s="175" t="s">
        <v>88</v>
      </c>
    </row>
    <row r="40" spans="1:26" ht="78">
      <c r="A40" s="155"/>
      <c r="B40" s="170">
        <v>29</v>
      </c>
      <c r="C40" s="174" t="s">
        <v>106</v>
      </c>
      <c r="D40" s="171" t="s">
        <v>64</v>
      </c>
      <c r="E40" s="171"/>
      <c r="F40" s="172">
        <v>119</v>
      </c>
      <c r="G40" s="173">
        <v>104300</v>
      </c>
      <c r="H40" s="173">
        <v>35700</v>
      </c>
      <c r="I40" s="173">
        <f t="shared" si="0"/>
        <v>140000</v>
      </c>
      <c r="J40" s="173"/>
      <c r="K40" s="173"/>
      <c r="L40" s="173"/>
      <c r="M40" s="173"/>
      <c r="N40" s="173"/>
      <c r="O40" s="173"/>
      <c r="P40" s="173"/>
      <c r="Q40" s="173">
        <v>0</v>
      </c>
      <c r="R40" s="173"/>
      <c r="S40" s="173"/>
      <c r="T40" s="173"/>
      <c r="U40" s="173"/>
      <c r="V40" s="173"/>
      <c r="W40" s="173"/>
      <c r="X40" s="173">
        <f t="shared" si="6"/>
        <v>0</v>
      </c>
      <c r="Y40" s="171"/>
      <c r="Z40" s="184"/>
    </row>
    <row r="41" spans="1:26" ht="39">
      <c r="A41" s="155"/>
      <c r="B41" s="511">
        <v>30</v>
      </c>
      <c r="C41" s="513" t="s">
        <v>4</v>
      </c>
      <c r="D41" s="171" t="s">
        <v>145</v>
      </c>
      <c r="E41" s="171" t="s">
        <v>13</v>
      </c>
      <c r="F41" s="172">
        <v>144</v>
      </c>
      <c r="G41" s="514">
        <v>180000</v>
      </c>
      <c r="H41" s="514">
        <v>220000</v>
      </c>
      <c r="I41" s="506">
        <f>SUM(G41:H50)</f>
        <v>400000</v>
      </c>
      <c r="J41" s="173"/>
      <c r="K41" s="173">
        <f>100*144</f>
        <v>14400</v>
      </c>
      <c r="L41" s="173">
        <f>100*144</f>
        <v>14400</v>
      </c>
      <c r="M41" s="173">
        <f>100*144</f>
        <v>14400</v>
      </c>
      <c r="N41" s="173">
        <f>100*144</f>
        <v>14400</v>
      </c>
      <c r="O41" s="176"/>
      <c r="P41" s="176"/>
      <c r="Q41" s="506">
        <f>SUM(M41:N50)</f>
        <v>220000</v>
      </c>
      <c r="R41" s="173"/>
      <c r="S41" s="173">
        <v>14400</v>
      </c>
      <c r="T41" s="173">
        <v>14400</v>
      </c>
      <c r="U41" s="173"/>
      <c r="V41" s="173"/>
      <c r="W41" s="173"/>
      <c r="X41" s="173">
        <f t="shared" si="6"/>
        <v>28800</v>
      </c>
      <c r="Y41" s="512" t="s">
        <v>101</v>
      </c>
      <c r="Z41" s="515" t="s">
        <v>226</v>
      </c>
    </row>
    <row r="42" spans="1:26" ht="39">
      <c r="A42" s="155"/>
      <c r="B42" s="511"/>
      <c r="C42" s="513"/>
      <c r="D42" s="171" t="s">
        <v>146</v>
      </c>
      <c r="E42" s="171" t="s">
        <v>17</v>
      </c>
      <c r="F42" s="172">
        <v>96</v>
      </c>
      <c r="G42" s="514"/>
      <c r="H42" s="514"/>
      <c r="I42" s="517"/>
      <c r="J42" s="173"/>
      <c r="K42" s="173">
        <v>9600</v>
      </c>
      <c r="L42" s="173">
        <v>9600</v>
      </c>
      <c r="M42" s="173">
        <v>9600</v>
      </c>
      <c r="N42" s="173">
        <v>9600</v>
      </c>
      <c r="O42" s="177"/>
      <c r="P42" s="177"/>
      <c r="Q42" s="517"/>
      <c r="R42" s="173"/>
      <c r="S42" s="173">
        <v>9600</v>
      </c>
      <c r="T42" s="173">
        <v>10208</v>
      </c>
      <c r="U42" s="173"/>
      <c r="V42" s="173"/>
      <c r="W42" s="173"/>
      <c r="X42" s="173">
        <f t="shared" si="6"/>
        <v>19808</v>
      </c>
      <c r="Y42" s="513"/>
      <c r="Z42" s="519"/>
    </row>
    <row r="43" spans="1:26" ht="39">
      <c r="A43" s="155"/>
      <c r="B43" s="511"/>
      <c r="C43" s="513"/>
      <c r="D43" s="171" t="s">
        <v>147</v>
      </c>
      <c r="E43" s="171" t="s">
        <v>18</v>
      </c>
      <c r="F43" s="172">
        <v>96</v>
      </c>
      <c r="G43" s="514"/>
      <c r="H43" s="514"/>
      <c r="I43" s="517"/>
      <c r="J43" s="173"/>
      <c r="K43" s="173">
        <v>9600</v>
      </c>
      <c r="L43" s="173">
        <v>9600</v>
      </c>
      <c r="M43" s="173">
        <v>9600</v>
      </c>
      <c r="N43" s="173">
        <v>9600</v>
      </c>
      <c r="O43" s="177"/>
      <c r="P43" s="177"/>
      <c r="Q43" s="517"/>
      <c r="R43" s="173"/>
      <c r="S43" s="173">
        <v>9600</v>
      </c>
      <c r="T43" s="173">
        <v>10208</v>
      </c>
      <c r="U43" s="173"/>
      <c r="V43" s="173"/>
      <c r="W43" s="173"/>
      <c r="X43" s="173">
        <f t="shared" si="6"/>
        <v>19808</v>
      </c>
      <c r="Y43" s="513"/>
      <c r="Z43" s="519"/>
    </row>
    <row r="44" spans="1:26" ht="39">
      <c r="A44" s="155"/>
      <c r="B44" s="511"/>
      <c r="C44" s="513"/>
      <c r="D44" s="171" t="s">
        <v>148</v>
      </c>
      <c r="E44" s="171" t="s">
        <v>19</v>
      </c>
      <c r="F44" s="172">
        <v>96</v>
      </c>
      <c r="G44" s="514"/>
      <c r="H44" s="514"/>
      <c r="I44" s="517"/>
      <c r="J44" s="173"/>
      <c r="K44" s="173">
        <v>9600</v>
      </c>
      <c r="L44" s="173">
        <v>9600</v>
      </c>
      <c r="M44" s="173">
        <v>9600</v>
      </c>
      <c r="N44" s="173">
        <v>9600</v>
      </c>
      <c r="O44" s="177"/>
      <c r="P44" s="177"/>
      <c r="Q44" s="517"/>
      <c r="R44" s="173"/>
      <c r="S44" s="173">
        <f t="shared" ref="S44:S47" si="7">100*102.08</f>
        <v>10208</v>
      </c>
      <c r="T44" s="173">
        <v>10208</v>
      </c>
      <c r="U44" s="173"/>
      <c r="V44" s="173"/>
      <c r="W44" s="173"/>
      <c r="X44" s="173">
        <f t="shared" si="6"/>
        <v>20416</v>
      </c>
      <c r="Y44" s="513"/>
      <c r="Z44" s="519"/>
    </row>
    <row r="45" spans="1:26" ht="39">
      <c r="A45" s="155"/>
      <c r="B45" s="511"/>
      <c r="C45" s="513"/>
      <c r="D45" s="171" t="s">
        <v>149</v>
      </c>
      <c r="E45" s="171" t="s">
        <v>20</v>
      </c>
      <c r="F45" s="172">
        <v>118</v>
      </c>
      <c r="G45" s="514"/>
      <c r="H45" s="514"/>
      <c r="I45" s="517"/>
      <c r="J45" s="173"/>
      <c r="K45" s="173">
        <v>11800</v>
      </c>
      <c r="L45" s="173">
        <v>11800</v>
      </c>
      <c r="M45" s="173">
        <v>11800</v>
      </c>
      <c r="N45" s="173">
        <v>11800</v>
      </c>
      <c r="O45" s="177"/>
      <c r="P45" s="177"/>
      <c r="Q45" s="517"/>
      <c r="R45" s="173"/>
      <c r="S45" s="173">
        <f t="shared" si="7"/>
        <v>10208</v>
      </c>
      <c r="T45" s="173">
        <v>10208</v>
      </c>
      <c r="U45" s="173"/>
      <c r="V45" s="173"/>
      <c r="W45" s="173"/>
      <c r="X45" s="173">
        <f t="shared" si="6"/>
        <v>20416</v>
      </c>
      <c r="Y45" s="513"/>
      <c r="Z45" s="519"/>
    </row>
    <row r="46" spans="1:26" ht="39">
      <c r="A46" s="155"/>
      <c r="B46" s="511"/>
      <c r="C46" s="513"/>
      <c r="D46" s="171" t="s">
        <v>150</v>
      </c>
      <c r="E46" s="171" t="s">
        <v>20</v>
      </c>
      <c r="F46" s="172">
        <v>118</v>
      </c>
      <c r="G46" s="514"/>
      <c r="H46" s="514"/>
      <c r="I46" s="517"/>
      <c r="J46" s="173"/>
      <c r="K46" s="173">
        <v>11800</v>
      </c>
      <c r="L46" s="173">
        <v>11800</v>
      </c>
      <c r="M46" s="173">
        <v>11800</v>
      </c>
      <c r="N46" s="173">
        <v>11800</v>
      </c>
      <c r="O46" s="177"/>
      <c r="P46" s="177"/>
      <c r="Q46" s="517"/>
      <c r="R46" s="173"/>
      <c r="S46" s="173">
        <f>100*102.08</f>
        <v>10208</v>
      </c>
      <c r="T46" s="173">
        <v>10208</v>
      </c>
      <c r="U46" s="173"/>
      <c r="V46" s="173"/>
      <c r="W46" s="173"/>
      <c r="X46" s="173">
        <f t="shared" si="6"/>
        <v>20416</v>
      </c>
      <c r="Y46" s="513"/>
      <c r="Z46" s="519"/>
    </row>
    <row r="47" spans="1:26" ht="39">
      <c r="A47" s="155"/>
      <c r="B47" s="511"/>
      <c r="C47" s="513"/>
      <c r="D47" s="171" t="s">
        <v>151</v>
      </c>
      <c r="E47" s="171" t="s">
        <v>21</v>
      </c>
      <c r="F47" s="172">
        <v>96</v>
      </c>
      <c r="G47" s="514"/>
      <c r="H47" s="514"/>
      <c r="I47" s="517"/>
      <c r="J47" s="173"/>
      <c r="K47" s="173">
        <v>9600</v>
      </c>
      <c r="L47" s="173">
        <v>9600</v>
      </c>
      <c r="M47" s="173">
        <v>9600</v>
      </c>
      <c r="N47" s="173">
        <v>9600</v>
      </c>
      <c r="O47" s="177"/>
      <c r="P47" s="177"/>
      <c r="Q47" s="517"/>
      <c r="R47" s="173"/>
      <c r="S47" s="173">
        <f t="shared" si="7"/>
        <v>10208</v>
      </c>
      <c r="T47" s="173">
        <v>10208</v>
      </c>
      <c r="U47" s="173"/>
      <c r="V47" s="173"/>
      <c r="W47" s="173"/>
      <c r="X47" s="173">
        <f t="shared" si="6"/>
        <v>20416</v>
      </c>
      <c r="Y47" s="513"/>
      <c r="Z47" s="519"/>
    </row>
    <row r="48" spans="1:26" ht="39">
      <c r="A48" s="155"/>
      <c r="B48" s="511"/>
      <c r="C48" s="513"/>
      <c r="D48" s="171" t="s">
        <v>152</v>
      </c>
      <c r="E48" s="171" t="s">
        <v>12</v>
      </c>
      <c r="F48" s="172">
        <v>96</v>
      </c>
      <c r="G48" s="514"/>
      <c r="H48" s="514"/>
      <c r="I48" s="517"/>
      <c r="J48" s="173"/>
      <c r="K48" s="173">
        <v>9600</v>
      </c>
      <c r="L48" s="173">
        <v>9600</v>
      </c>
      <c r="M48" s="173">
        <v>9600</v>
      </c>
      <c r="N48" s="173">
        <v>9600</v>
      </c>
      <c r="O48" s="177"/>
      <c r="P48" s="177"/>
      <c r="Q48" s="517"/>
      <c r="R48" s="173"/>
      <c r="S48" s="173">
        <f>100*98</f>
        <v>9800</v>
      </c>
      <c r="T48" s="173">
        <v>9800</v>
      </c>
      <c r="U48" s="173"/>
      <c r="V48" s="173"/>
      <c r="W48" s="173">
        <v>9800</v>
      </c>
      <c r="X48" s="173">
        <f t="shared" si="6"/>
        <v>9800</v>
      </c>
      <c r="Y48" s="513"/>
      <c r="Z48" s="519"/>
    </row>
    <row r="49" spans="1:26" ht="39">
      <c r="A49" s="155"/>
      <c r="B49" s="511"/>
      <c r="C49" s="513"/>
      <c r="D49" s="171" t="s">
        <v>153</v>
      </c>
      <c r="E49" s="171" t="s">
        <v>22</v>
      </c>
      <c r="F49" s="172">
        <v>96</v>
      </c>
      <c r="G49" s="514"/>
      <c r="H49" s="514"/>
      <c r="I49" s="517"/>
      <c r="J49" s="173"/>
      <c r="K49" s="173">
        <v>9600</v>
      </c>
      <c r="L49" s="173">
        <v>9600</v>
      </c>
      <c r="M49" s="173">
        <v>9600</v>
      </c>
      <c r="N49" s="173">
        <v>9600</v>
      </c>
      <c r="O49" s="177"/>
      <c r="P49" s="177"/>
      <c r="Q49" s="517"/>
      <c r="R49" s="173"/>
      <c r="S49" s="173">
        <f>100*102.08</f>
        <v>10208</v>
      </c>
      <c r="T49" s="173">
        <v>10208</v>
      </c>
      <c r="U49" s="173"/>
      <c r="V49" s="173"/>
      <c r="W49" s="173"/>
      <c r="X49" s="173">
        <f t="shared" si="6"/>
        <v>20416</v>
      </c>
      <c r="Y49" s="513"/>
      <c r="Z49" s="519"/>
    </row>
    <row r="50" spans="1:26" ht="39.75" thickBot="1">
      <c r="A50" s="155"/>
      <c r="B50" s="525"/>
      <c r="C50" s="521"/>
      <c r="D50" s="185" t="s">
        <v>154</v>
      </c>
      <c r="E50" s="185" t="s">
        <v>13</v>
      </c>
      <c r="F50" s="186">
        <v>144</v>
      </c>
      <c r="G50" s="526"/>
      <c r="H50" s="526"/>
      <c r="I50" s="507"/>
      <c r="J50" s="187"/>
      <c r="K50" s="187">
        <v>14400</v>
      </c>
      <c r="L50" s="187">
        <v>14400</v>
      </c>
      <c r="M50" s="187">
        <v>14400</v>
      </c>
      <c r="N50" s="187">
        <v>14400</v>
      </c>
      <c r="O50" s="188"/>
      <c r="P50" s="188"/>
      <c r="Q50" s="520"/>
      <c r="R50" s="187"/>
      <c r="S50" s="187">
        <f>100*150.06</f>
        <v>15006</v>
      </c>
      <c r="T50" s="187">
        <v>15006</v>
      </c>
      <c r="U50" s="187"/>
      <c r="V50" s="187"/>
      <c r="W50" s="187"/>
      <c r="X50" s="187">
        <f t="shared" si="6"/>
        <v>30012</v>
      </c>
      <c r="Y50" s="521"/>
      <c r="Z50" s="522"/>
    </row>
    <row r="51" spans="1:26" ht="40.5" thickTop="1" thickBot="1">
      <c r="A51" s="155"/>
      <c r="B51" s="523" t="s">
        <v>47</v>
      </c>
      <c r="C51" s="524"/>
      <c r="D51" s="524"/>
      <c r="E51" s="524"/>
      <c r="F51" s="524"/>
      <c r="G51" s="189">
        <f t="shared" ref="G51:L51" si="8">SUM(G3:G50)</f>
        <v>2646018</v>
      </c>
      <c r="H51" s="189">
        <f t="shared" si="8"/>
        <v>2108722</v>
      </c>
      <c r="I51" s="189">
        <f t="shared" si="8"/>
        <v>4754740</v>
      </c>
      <c r="J51" s="189">
        <f t="shared" si="8"/>
        <v>158855</v>
      </c>
      <c r="K51" s="189">
        <f t="shared" si="8"/>
        <v>667705</v>
      </c>
      <c r="L51" s="189">
        <f t="shared" si="8"/>
        <v>992505</v>
      </c>
      <c r="M51" s="189">
        <f t="shared" ref="M51:X51" si="9">SUM(M3:M50)</f>
        <v>537400</v>
      </c>
      <c r="N51" s="189">
        <f>SUM(N3:N50)</f>
        <v>406000</v>
      </c>
      <c r="O51" s="189">
        <f t="shared" si="9"/>
        <v>14400</v>
      </c>
      <c r="P51" s="189">
        <f t="shared" si="9"/>
        <v>14400</v>
      </c>
      <c r="Q51" s="189">
        <f t="shared" si="9"/>
        <v>1169030</v>
      </c>
      <c r="R51" s="189">
        <f t="shared" si="9"/>
        <v>138695</v>
      </c>
      <c r="S51" s="189">
        <f t="shared" si="9"/>
        <v>488951</v>
      </c>
      <c r="T51" s="189">
        <f t="shared" si="9"/>
        <v>973007</v>
      </c>
      <c r="U51" s="189"/>
      <c r="V51" s="189"/>
      <c r="W51" s="189">
        <f t="shared" si="9"/>
        <v>567647</v>
      </c>
      <c r="X51" s="189">
        <f t="shared" si="9"/>
        <v>1886006</v>
      </c>
      <c r="Y51" s="190"/>
      <c r="Z51" s="191"/>
    </row>
    <row r="52" spans="1:26" ht="15.75" thickTop="1"/>
  </sheetData>
  <mergeCells count="70">
    <mergeCell ref="I41:I50"/>
    <mergeCell ref="B51:F51"/>
    <mergeCell ref="B41:B50"/>
    <mergeCell ref="C41:C50"/>
    <mergeCell ref="G41:G50"/>
    <mergeCell ref="H41:H50"/>
    <mergeCell ref="Y26:Y37"/>
    <mergeCell ref="Z26:Z37"/>
    <mergeCell ref="Q41:Q50"/>
    <mergeCell ref="Y41:Y50"/>
    <mergeCell ref="Z41:Z50"/>
    <mergeCell ref="C26:C37"/>
    <mergeCell ref="G26:G37"/>
    <mergeCell ref="H26:H37"/>
    <mergeCell ref="I26:I37"/>
    <mergeCell ref="Q26:Q37"/>
    <mergeCell ref="Y17:Y18"/>
    <mergeCell ref="Z17:Z18"/>
    <mergeCell ref="C20:C23"/>
    <mergeCell ref="G20:G23"/>
    <mergeCell ref="H20:H23"/>
    <mergeCell ref="I20:I23"/>
    <mergeCell ref="K20:K23"/>
    <mergeCell ref="L20:L23"/>
    <mergeCell ref="M20:M23"/>
    <mergeCell ref="Q20:Q23"/>
    <mergeCell ref="Y20:Y23"/>
    <mergeCell ref="Z20:Z23"/>
    <mergeCell ref="B17:B18"/>
    <mergeCell ref="C17:C18"/>
    <mergeCell ref="G17:G18"/>
    <mergeCell ref="H17:H18"/>
    <mergeCell ref="I17:I18"/>
    <mergeCell ref="Y8:Y9"/>
    <mergeCell ref="Z8:Z9"/>
    <mergeCell ref="B10:B16"/>
    <mergeCell ref="C10:C16"/>
    <mergeCell ref="G10:G16"/>
    <mergeCell ref="H10:H16"/>
    <mergeCell ref="I10:I16"/>
    <mergeCell ref="Q10:Q16"/>
    <mergeCell ref="Y10:Y16"/>
    <mergeCell ref="Z10:Z16"/>
    <mergeCell ref="J8:J9"/>
    <mergeCell ref="K8:K9"/>
    <mergeCell ref="B8:B9"/>
    <mergeCell ref="C8:C9"/>
    <mergeCell ref="G8:G9"/>
    <mergeCell ref="H8:H9"/>
    <mergeCell ref="Q6:Q7"/>
    <mergeCell ref="R6:R7"/>
    <mergeCell ref="S6:S7"/>
    <mergeCell ref="L8:L9"/>
    <mergeCell ref="Q8:Q9"/>
    <mergeCell ref="I8:I9"/>
    <mergeCell ref="A1:Q1"/>
    <mergeCell ref="R1:Z1"/>
    <mergeCell ref="B6:B7"/>
    <mergeCell ref="C6:C7"/>
    <mergeCell ref="G6:G7"/>
    <mergeCell ref="H6:H7"/>
    <mergeCell ref="I6:I7"/>
    <mergeCell ref="J6:J7"/>
    <mergeCell ref="K6:K7"/>
    <mergeCell ref="L6:L7"/>
    <mergeCell ref="X6:X7"/>
    <mergeCell ref="Y6:Y7"/>
    <mergeCell ref="Z6:Z7"/>
    <mergeCell ref="T6:T7"/>
    <mergeCell ref="W6:W7"/>
  </mergeCells>
  <conditionalFormatting sqref="D3">
    <cfRule type="duplicateValues" dxfId="45" priority="39"/>
    <cfRule type="duplicateValues" dxfId="44" priority="40"/>
  </conditionalFormatting>
  <conditionalFormatting sqref="D24">
    <cfRule type="duplicateValues" dxfId="43" priority="37"/>
    <cfRule type="duplicateValues" dxfId="42" priority="38"/>
  </conditionalFormatting>
  <conditionalFormatting sqref="D25">
    <cfRule type="duplicateValues" dxfId="41" priority="35"/>
    <cfRule type="duplicateValues" dxfId="40" priority="36"/>
  </conditionalFormatting>
  <conditionalFormatting sqref="D26:D32">
    <cfRule type="duplicateValues" dxfId="39" priority="33"/>
    <cfRule type="duplicateValues" dxfId="38" priority="34"/>
  </conditionalFormatting>
  <conditionalFormatting sqref="D33:D38">
    <cfRule type="duplicateValues" dxfId="37" priority="31"/>
    <cfRule type="duplicateValues" dxfId="36" priority="32"/>
  </conditionalFormatting>
  <conditionalFormatting sqref="D39">
    <cfRule type="duplicateValues" dxfId="35" priority="29"/>
    <cfRule type="duplicateValues" dxfId="34" priority="30"/>
  </conditionalFormatting>
  <conditionalFormatting sqref="D20:D23">
    <cfRule type="duplicateValues" dxfId="33" priority="27"/>
    <cfRule type="duplicateValues" dxfId="32" priority="28"/>
  </conditionalFormatting>
  <conditionalFormatting sqref="D41:D50">
    <cfRule type="duplicateValues" dxfId="31" priority="23"/>
    <cfRule type="duplicateValues" dxfId="30" priority="24"/>
  </conditionalFormatting>
  <conditionalFormatting sqref="D41:D50">
    <cfRule type="duplicateValues" dxfId="29" priority="25"/>
    <cfRule type="duplicateValues" dxfId="28" priority="26"/>
  </conditionalFormatting>
  <conditionalFormatting sqref="D20:D40 D3">
    <cfRule type="duplicateValues" dxfId="27" priority="41"/>
    <cfRule type="duplicateValues" dxfId="26" priority="42"/>
  </conditionalFormatting>
  <conditionalFormatting sqref="D5">
    <cfRule type="duplicateValues" dxfId="25" priority="19"/>
    <cfRule type="duplicateValues" dxfId="24" priority="20"/>
  </conditionalFormatting>
  <conditionalFormatting sqref="D4">
    <cfRule type="duplicateValues" dxfId="23" priority="21"/>
    <cfRule type="duplicateValues" dxfId="22" priority="22"/>
  </conditionalFormatting>
  <conditionalFormatting sqref="D5">
    <cfRule type="duplicateValues" dxfId="21" priority="17"/>
    <cfRule type="duplicateValues" dxfId="20" priority="18"/>
  </conditionalFormatting>
  <conditionalFormatting sqref="D7">
    <cfRule type="duplicateValues" dxfId="19" priority="13"/>
    <cfRule type="duplicateValues" dxfId="18" priority="14"/>
  </conditionalFormatting>
  <conditionalFormatting sqref="D6:D7">
    <cfRule type="duplicateValues" dxfId="17" priority="15"/>
    <cfRule type="duplicateValues" dxfId="16" priority="16"/>
  </conditionalFormatting>
  <conditionalFormatting sqref="D8:D10">
    <cfRule type="duplicateValues" dxfId="15" priority="11"/>
    <cfRule type="duplicateValues" dxfId="14" priority="12"/>
  </conditionalFormatting>
  <conditionalFormatting sqref="D14:D16">
    <cfRule type="duplicateValues" dxfId="13" priority="9"/>
    <cfRule type="duplicateValues" dxfId="12" priority="10"/>
  </conditionalFormatting>
  <conditionalFormatting sqref="D11:D13">
    <cfRule type="duplicateValues" dxfId="11" priority="43"/>
    <cfRule type="duplicateValues" dxfId="10" priority="44"/>
  </conditionalFormatting>
  <conditionalFormatting sqref="D11:D16">
    <cfRule type="duplicateValues" dxfId="9" priority="45"/>
    <cfRule type="duplicateValues" dxfId="8" priority="46"/>
  </conditionalFormatting>
  <conditionalFormatting sqref="D17:D18">
    <cfRule type="duplicateValues" dxfId="7" priority="5"/>
    <cfRule type="duplicateValues" dxfId="6" priority="6"/>
  </conditionalFormatting>
  <conditionalFormatting sqref="D17:D18">
    <cfRule type="duplicateValues" dxfId="5" priority="7"/>
    <cfRule type="duplicateValues" dxfId="4" priority="8"/>
  </conditionalFormatting>
  <conditionalFormatting sqref="D19">
    <cfRule type="duplicateValues" dxfId="3" priority="1"/>
    <cfRule type="duplicateValues" dxfId="2" priority="2"/>
  </conditionalFormatting>
  <conditionalFormatting sqref="D19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JAN- TO FEB,MARCH</vt:lpstr>
      <vt:lpstr>Sheet4</vt:lpstr>
      <vt:lpstr>Sheet5</vt:lpstr>
      <vt:lpstr>ISSUES CHQS</vt:lpstr>
      <vt:lpstr>APR-MAY</vt:lpstr>
      <vt:lpstr>JUNE</vt:lpstr>
      <vt:lpstr>JULY</vt:lpstr>
      <vt:lpstr>Sheet7</vt:lpstr>
      <vt:lpstr>Sheet3</vt:lpstr>
      <vt:lpstr>MARCH-APR</vt:lpstr>
      <vt:lpstr>Sheet2</vt:lpstr>
      <vt:lpstr>ALLOTEE RENT PAYABLES</vt:lpstr>
      <vt:lpstr>Sheet1</vt:lpstr>
      <vt:lpstr>'ALLOTEE RENT PAYABLES'!Print_Area</vt:lpstr>
      <vt:lpstr>'APR-MAY'!Print_Area</vt:lpstr>
      <vt:lpstr>'ISSUES CHQS'!Print_Area</vt:lpstr>
      <vt:lpstr>'JAN- TO FEB,MARCH'!Print_Area</vt:lpstr>
      <vt:lpstr>JULY!Print_Area</vt:lpstr>
      <vt:lpstr>JUNE!Print_Area</vt:lpstr>
      <vt:lpstr>'MARCH-APR'!Print_Area</vt:lpstr>
      <vt:lpstr>Sheet2!Print_Area</vt:lpstr>
      <vt:lpstr>Sheet4!Print_Area</vt:lpstr>
      <vt:lpstr>Sheet5!Print_Area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Falaknaz</cp:lastModifiedBy>
  <cp:lastPrinted>2026-10-01T07:59:48Z</cp:lastPrinted>
  <dcterms:modified xsi:type="dcterms:W3CDTF">2026-10-09T13:22:32Z</dcterms:modified>
</cp:coreProperties>
</file>